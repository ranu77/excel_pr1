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evanshi Kanthariya\Downloads\"/>
    </mc:Choice>
  </mc:AlternateContent>
  <xr:revisionPtr revIDLastSave="0" documentId="13_ncr:1_{9212BB53-0249-44F3-8023-BFB3D2E784C4}" xr6:coauthVersionLast="47" xr6:coauthVersionMax="47" xr10:uidLastSave="{00000000-0000-0000-0000-000000000000}"/>
  <bookViews>
    <workbookView xWindow="-108" yWindow="-108" windowWidth="23256" windowHeight="12456" activeTab="3"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4" i="2" l="1" a="1"/>
  <c r="A34" i="2" s="1"/>
  <c r="K3" i="3"/>
  <c r="K4" i="3"/>
  <c r="K5" i="3"/>
  <c r="K6" i="3"/>
  <c r="K7" i="3"/>
  <c r="K8" i="3"/>
  <c r="K9" i="3"/>
  <c r="K10" i="3"/>
  <c r="K11" i="3"/>
  <c r="K12" i="3"/>
  <c r="K13" i="3"/>
  <c r="K14" i="3"/>
  <c r="K15" i="3"/>
  <c r="K16" i="3"/>
  <c r="K17" i="3"/>
  <c r="K18" i="3"/>
  <c r="K19" i="3"/>
  <c r="K20" i="3"/>
  <c r="K21" i="3"/>
  <c r="K2" i="3"/>
  <c r="J3" i="3"/>
  <c r="J4" i="3"/>
  <c r="J5" i="3"/>
  <c r="J6" i="3"/>
  <c r="J7" i="3"/>
  <c r="J8" i="3"/>
  <c r="J9" i="3"/>
  <c r="J10" i="3"/>
  <c r="J11" i="3"/>
  <c r="J12" i="3"/>
  <c r="J13" i="3"/>
  <c r="J14" i="3"/>
  <c r="J15" i="3"/>
  <c r="J16" i="3"/>
  <c r="J17" i="3"/>
  <c r="J18" i="3"/>
  <c r="J19" i="3"/>
  <c r="J20" i="3"/>
  <c r="J21" i="3"/>
  <c r="J2" i="3"/>
  <c r="I3" i="3"/>
  <c r="I4" i="3"/>
  <c r="I5" i="3"/>
  <c r="I6" i="3"/>
  <c r="I7" i="3"/>
  <c r="I8" i="3"/>
  <c r="I9" i="3"/>
  <c r="I10" i="3"/>
  <c r="I11" i="3"/>
  <c r="I12" i="3"/>
  <c r="I13" i="3"/>
  <c r="I14" i="3"/>
  <c r="I15" i="3"/>
  <c r="I16" i="3"/>
  <c r="I17" i="3"/>
  <c r="I18" i="3"/>
  <c r="I19" i="3"/>
  <c r="I20" i="3"/>
  <c r="I21" i="3"/>
  <c r="I2" i="3"/>
  <c r="G25" i="2"/>
  <c r="F2" i="4"/>
  <c r="F3" i="4"/>
  <c r="F4" i="4"/>
  <c r="F5" i="4"/>
  <c r="F6" i="4"/>
  <c r="F7" i="4"/>
  <c r="F8" i="4"/>
  <c r="F9" i="4"/>
  <c r="F10" i="4"/>
  <c r="F11" i="4"/>
  <c r="F12" i="4"/>
  <c r="F13" i="4"/>
  <c r="F14" i="4"/>
  <c r="F15" i="4"/>
  <c r="F16" i="4"/>
  <c r="F17" i="4"/>
  <c r="F18" i="4"/>
  <c r="F19" i="4"/>
  <c r="F20" i="4"/>
  <c r="F21" i="4"/>
  <c r="F34" i="3"/>
  <c r="B33" i="3"/>
  <c r="D25" i="4"/>
  <c r="H29" i="3"/>
  <c r="O3" i="2"/>
  <c r="O4" i="2"/>
  <c r="O5" i="2"/>
  <c r="O6" i="2"/>
  <c r="O7" i="2"/>
  <c r="O8" i="2"/>
  <c r="O9" i="2"/>
  <c r="O10" i="2"/>
  <c r="O11" i="2"/>
  <c r="O12" i="2"/>
  <c r="O13" i="2"/>
  <c r="O14" i="2"/>
  <c r="O15" i="2"/>
  <c r="O16" i="2"/>
  <c r="O17" i="2"/>
  <c r="O18" i="2"/>
  <c r="O19" i="2"/>
  <c r="O20" i="2"/>
  <c r="O21" i="2"/>
  <c r="O2" i="2"/>
  <c r="N3" i="2"/>
  <c r="N4" i="2"/>
  <c r="N5" i="2"/>
  <c r="N6" i="2"/>
  <c r="N7" i="2"/>
  <c r="N8" i="2"/>
  <c r="N9" i="2"/>
  <c r="N10" i="2"/>
  <c r="N11" i="2"/>
  <c r="N12" i="2"/>
  <c r="N13" i="2"/>
  <c r="N14" i="2"/>
  <c r="N15" i="2"/>
  <c r="N16" i="2"/>
  <c r="N17" i="2"/>
  <c r="N18" i="2"/>
  <c r="N19" i="2"/>
  <c r="N20" i="2"/>
  <c r="N21" i="2"/>
  <c r="N2" i="2"/>
  <c r="M3" i="2"/>
  <c r="M4" i="2"/>
  <c r="M5" i="2"/>
  <c r="M6" i="2"/>
  <c r="M7" i="2"/>
  <c r="M8" i="2"/>
  <c r="M9" i="2"/>
  <c r="M10" i="2"/>
  <c r="M11" i="2"/>
  <c r="M12" i="2"/>
  <c r="M13" i="2"/>
  <c r="M14" i="2"/>
  <c r="M15" i="2"/>
  <c r="M16" i="2"/>
  <c r="M17" i="2"/>
  <c r="M18" i="2"/>
  <c r="M19" i="2"/>
  <c r="M20" i="2"/>
  <c r="M21" i="2"/>
  <c r="M2" i="2"/>
  <c r="B27" i="4"/>
  <c r="B26" i="4"/>
  <c r="B25" i="4"/>
  <c r="B29" i="3"/>
  <c r="G26" i="3"/>
  <c r="A25" i="3"/>
  <c r="H29" i="2"/>
  <c r="D29" i="2"/>
  <c r="A29" i="2"/>
  <c r="H3" i="3"/>
  <c r="H4" i="3"/>
  <c r="H5" i="3"/>
  <c r="H6" i="3"/>
  <c r="H7" i="3"/>
  <c r="H8" i="3"/>
  <c r="H9" i="3"/>
  <c r="H10" i="3"/>
  <c r="H11" i="3"/>
  <c r="H12" i="3"/>
  <c r="H13" i="3"/>
  <c r="H14" i="3"/>
  <c r="H15" i="3"/>
  <c r="H16" i="3"/>
  <c r="H17" i="3"/>
  <c r="H18" i="3"/>
  <c r="H19" i="3"/>
  <c r="H20" i="3"/>
  <c r="H21" i="3"/>
  <c r="H2" i="3"/>
  <c r="L3" i="2"/>
  <c r="L4" i="2"/>
  <c r="L5" i="2"/>
  <c r="L6" i="2"/>
  <c r="L7" i="2"/>
  <c r="L8" i="2"/>
  <c r="L9" i="2"/>
  <c r="L10" i="2"/>
  <c r="L11" i="2"/>
  <c r="L12" i="2"/>
  <c r="L13" i="2"/>
  <c r="L14" i="2"/>
  <c r="L15" i="2"/>
  <c r="L16" i="2"/>
  <c r="L17" i="2"/>
  <c r="L18" i="2"/>
  <c r="L19" i="2"/>
  <c r="L20" i="2"/>
  <c r="L21" i="2"/>
  <c r="L2" i="2"/>
  <c r="G3" i="3"/>
  <c r="G4" i="3"/>
  <c r="G5" i="3"/>
  <c r="G6" i="3"/>
  <c r="G7" i="3"/>
  <c r="G8" i="3"/>
  <c r="G9" i="3"/>
  <c r="G10" i="3"/>
  <c r="G11" i="3"/>
  <c r="G12" i="3"/>
  <c r="G13" i="3"/>
  <c r="G14" i="3"/>
  <c r="G15" i="3"/>
  <c r="G16" i="3"/>
  <c r="G17" i="3"/>
  <c r="G18" i="3"/>
  <c r="G19" i="3"/>
  <c r="G20" i="3"/>
  <c r="G21" i="3"/>
  <c r="G2" i="3"/>
  <c r="K3" i="2"/>
  <c r="K4" i="2"/>
  <c r="K5" i="2"/>
  <c r="K6" i="2"/>
  <c r="K7" i="2"/>
  <c r="K8" i="2"/>
  <c r="K9" i="2"/>
  <c r="K10" i="2"/>
  <c r="K11" i="2"/>
  <c r="K12" i="2"/>
  <c r="K13" i="2"/>
  <c r="K14" i="2"/>
  <c r="K15" i="2"/>
  <c r="K16" i="2"/>
  <c r="K17" i="2"/>
  <c r="K18" i="2"/>
  <c r="K19" i="2"/>
  <c r="K20" i="2"/>
  <c r="K21" i="2"/>
  <c r="K2" i="2"/>
  <c r="H3" i="2"/>
  <c r="H4" i="2"/>
  <c r="H5" i="2"/>
  <c r="H6" i="2"/>
  <c r="H7" i="2"/>
  <c r="H8" i="2"/>
  <c r="H9" i="2"/>
  <c r="H10" i="2"/>
  <c r="H11" i="2"/>
  <c r="H12" i="2"/>
  <c r="H13" i="2"/>
  <c r="H14" i="2"/>
  <c r="H15" i="2"/>
  <c r="H16" i="2"/>
  <c r="H17" i="2"/>
  <c r="H18" i="2"/>
  <c r="H19" i="2"/>
  <c r="H20" i="2"/>
  <c r="H21" i="2"/>
  <c r="H2" i="2"/>
  <c r="I3" i="2"/>
  <c r="J3" i="2" s="1"/>
  <c r="I2" i="2"/>
  <c r="I4" i="2"/>
  <c r="J4" i="2" s="1"/>
  <c r="I5" i="2"/>
  <c r="J5" i="2" s="1"/>
  <c r="I6" i="2"/>
  <c r="J6" i="2" s="1"/>
  <c r="I7" i="2"/>
  <c r="J7" i="2" s="1"/>
  <c r="I8" i="2"/>
  <c r="J8" i="2" s="1"/>
  <c r="I9" i="2"/>
  <c r="J9" i="2" s="1"/>
  <c r="I10" i="2"/>
  <c r="J10" i="2" s="1"/>
  <c r="I11" i="2"/>
  <c r="J11" i="2" s="1"/>
  <c r="I12" i="2"/>
  <c r="J12" i="2" s="1"/>
  <c r="I13" i="2"/>
  <c r="J13" i="2" s="1"/>
  <c r="I14" i="2"/>
  <c r="J14" i="2" s="1"/>
  <c r="I15" i="2"/>
  <c r="J15" i="2" s="1"/>
  <c r="I16" i="2"/>
  <c r="J16" i="2" s="1"/>
  <c r="I17" i="2"/>
  <c r="J17" i="2" s="1"/>
  <c r="I18" i="2"/>
  <c r="J18" i="2" s="1"/>
  <c r="I19" i="2"/>
  <c r="J19" i="2" s="1"/>
  <c r="I20" i="2"/>
  <c r="J20" i="2" s="1"/>
  <c r="I21" i="2"/>
  <c r="J21" i="2" s="1"/>
  <c r="A25" i="2" a="1"/>
  <c r="A25"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<sst xmlns="http://schemas.openxmlformats.org/spreadsheetml/2006/main" count="218" uniqueCount="161">
  <si>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</si>
  <si>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</si>
  <si>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</si>
  <si>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</si>
  <si>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</si>
  <si>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</si>
  <si>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</si>
  <si>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</si>
  <si>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</si>
  <si>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</si>
  <si>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</si>
  <si>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</si>
  <si>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</si>
  <si>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</si>
  <si>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</si>
  <si>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</si>
  <si>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</si>
  <si>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</si>
  <si>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</si>
  <si>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</si>
  <si>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</si>
  <si>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</si>
  <si>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</si>
  <si>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</si>
  <si>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</si>
  <si>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</si>
  <si>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</si>
  <si>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</si>
  <si>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</si>
  <si>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</si>
  <si>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</si>
  <si>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</si>
  <si>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</si>
  <si>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</si>
  <si>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</si>
  <si>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</si>
  <si>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</si>
  <si>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</si>
  <si>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</si>
  <si>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</si>
  <si>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</si>
  <si>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</si>
  <si>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</si>
  <si>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</si>
  <si>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</si>
  <si>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</si>
  <si>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</si>
  <si>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</si>
  <si>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</si>
  <si>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</si>
  <si>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</si>
  <si>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</si>
  <si>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</si>
  <si>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</si>
  <si>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</si>
  <si>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</si>
  <si>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</si>
  <si>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</si>
  <si>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</si>
  <si>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</si>
  <si>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</si>
  <si>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</si>
  <si>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</si>
  <si>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</si>
  <si>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</si>
  <si>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</si>
  <si>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</si>
  <si>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</si>
  <si>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</si>
  <si>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</si>
  <si>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</si>
  <si>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</si>
  <si>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</si>
  <si>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</si>
  <si>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</si>
  <si>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</si>
  <si>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</si>
  <si>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</si>
  <si>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</si>
  <si>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</si>
  <si>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</si>
  <si>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</si>
  <si>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</si>
  <si>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</si>
  <si>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</si>
  <si>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</si>
  <si>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</si>
  <si>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</si>
  <si>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</si>
  <si>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</si>
  <si>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</si>
  <si>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</si>
  <si>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</si>
  <si>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</si>
  <si>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</si>
  <si>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</si>
  <si>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</si>
  <si>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</si>
  <si>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</si>
  <si>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</si>
  <si>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</si>
  <si>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</si>
  <si>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</si>
  <si>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</si>
  <si>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</si>
  <si>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</si>
  <si>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</si>
  <si>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</si>
  <si>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</si>
  <si>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</si>
  <si>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</si>
  <si>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</si>
  <si>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</si>
  <si>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</si>
  <si>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</si>
  <si>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</si>
  <si>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</si>
  <si>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</si>
  <si>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</si>
  <si>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</si>
  <si>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</si>
  <si>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</si>
  <si>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</si>
  <si>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</si>
  <si>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</si>
  <si>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</si>
  <si>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</si>
  <si>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</si>
  <si>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</si>
  <si>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Formated Enrollment Date</t>
  </si>
  <si>
    <t>Average Score</t>
  </si>
  <si>
    <t>Result</t>
  </si>
  <si>
    <t>Grade</t>
  </si>
  <si>
    <t>Total Score</t>
  </si>
  <si>
    <t>B</t>
  </si>
  <si>
    <t>Discount</t>
  </si>
  <si>
    <t>Math and Science above 80?</t>
  </si>
  <si>
    <t>Discount Eligible?</t>
  </si>
  <si>
    <t>Score Above 50 in Math</t>
  </si>
  <si>
    <t>Total Sales for South Region and Keyboard</t>
  </si>
  <si>
    <t>Average Math Score(Abobe 60)</t>
  </si>
  <si>
    <t>VLOOKUP Function</t>
  </si>
  <si>
    <t>Product price based on product code.</t>
  </si>
  <si>
    <t>Sales values for a specific salesperson in a specific month.</t>
  </si>
  <si>
    <t>Employee Details</t>
  </si>
  <si>
    <t>Name:</t>
  </si>
  <si>
    <t>Department:</t>
  </si>
  <si>
    <t>Salary:</t>
  </si>
  <si>
    <t>First Name</t>
  </si>
  <si>
    <t>Upper Name</t>
  </si>
  <si>
    <t>Lower Name</t>
  </si>
  <si>
    <t>Salesperson Perfomance</t>
  </si>
  <si>
    <t>Employee Salary</t>
  </si>
  <si>
    <t>Position of a product</t>
  </si>
  <si>
    <t>Indirect Function</t>
  </si>
  <si>
    <t>Age</t>
  </si>
  <si>
    <t>Diffenrence in days</t>
  </si>
  <si>
    <t>Rounded Amount</t>
  </si>
  <si>
    <t>Ceiling Amount</t>
  </si>
  <si>
    <t>Floor Amount</t>
  </si>
  <si>
    <t>Filter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</si>
</sst>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14009]dd/mm/yyyy;@"/>
  </numFmts>
  <fonts count="13">
    <font>
      <sz val="11"/>
      <color theme="1"/>
      <name val="Calibri"/>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sz val="11"/>
      <color rgb="FF006100"/>
      <name val="Calibri"/>
      <family val="2"/>
      <scheme val="minor"/>
    </font>
    <font>
      <b/>
      <sz val="11"/>
      <color rgb="FF006100"/>
      <name val="Calibri"/>
      <family val="2"/>
      <scheme val="minor"/>
    </font>
    <font>
      <i/>
      <sz val="11"/>
      <color rgb="FF000000"/>
      <name val="Calibri"/>
      <family val="2"/>
    </font>
  </fonts>
  <fills count="4">
    <fill>
      <patternFill patternType="none"/>
    </fill>
    <fill>
      <patternFill patternType="gray125"/>
    </fill>
    <fill>
      <patternFill patternType="solid">
        <fgColor rgb="FFFFF2CC"/>
        <bgColor rgb="FFFFF2CC"/>
      </patternFill>
    </fill>
    <fill>
      <patternFill patternType="solid">
        <fgColor rgb="FFC6EFCE"/>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0" fillId="3" borderId="0" applyNumberFormat="0" applyBorder="0" applyAlignment="0" applyProtection="0"/>
  </cellStyleXfs>
  <cellXfs count="33">
    <xf numFmtId="0" fontId="0" fillId="0" borderId="0" xfId="0"/>
    <xf numFmtId="0" fontId="3" fillId="2" borderId="1" xfId="0" applyFont="1" applyFill="1" applyBorder="1" applyAlignment="1">
      <alignment horizontal="center" vertical="center"/>
    </xf>
    <xf numFmtId="0" fontId="4" fillId="0" borderId="0" xfId="0" applyFont="1" applyAlignment="1">
      <alignment vertical="center"/>
    </xf>
    <xf numFmtId="0" fontId="5"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4" fillId="0" borderId="0" xfId="0" applyFont="1" applyAlignment="1">
      <alignment horizontal="center" vertical="center"/>
    </xf>
    <xf numFmtId="0" fontId="5" fillId="0" borderId="1" xfId="0" applyFont="1" applyBorder="1" applyAlignment="1">
      <alignment horizontal="center" vertical="center"/>
    </xf>
    <xf numFmtId="164" fontId="5" fillId="0" borderId="1" xfId="0" applyNumberFormat="1" applyFont="1" applyBorder="1" applyAlignment="1">
      <alignment horizontal="center" vertical="center"/>
    </xf>
    <xf numFmtId="0" fontId="11" fillId="3" borderId="1" xfId="1" applyFont="1" applyBorder="1" applyAlignment="1">
      <alignment horizontal="center" vertical="center"/>
    </xf>
    <xf numFmtId="0" fontId="12" fillId="0" borderId="1" xfId="0" applyFont="1" applyBorder="1" applyAlignment="1">
      <alignment horizontal="center" vertical="center"/>
    </xf>
    <xf numFmtId="0" fontId="11" fillId="3" borderId="3" xfId="1" applyFont="1" applyBorder="1" applyAlignment="1">
      <alignment horizontal="center" vertical="center"/>
    </xf>
    <xf numFmtId="165" fontId="5" fillId="0" borderId="3" xfId="0" applyNumberFormat="1" applyFont="1" applyBorder="1" applyAlignment="1">
      <alignment horizontal="center" vertical="center"/>
    </xf>
    <xf numFmtId="0" fontId="11" fillId="3" borderId="2" xfId="1" applyFont="1" applyBorder="1" applyAlignment="1">
      <alignment horizontal="center" vertical="center"/>
    </xf>
    <xf numFmtId="0" fontId="5" fillId="0" borderId="2" xfId="0" applyFont="1" applyBorder="1" applyAlignment="1">
      <alignment horizontal="center" vertical="center"/>
    </xf>
    <xf numFmtId="0" fontId="4" fillId="0" borderId="2" xfId="0" applyFont="1" applyBorder="1" applyAlignment="1">
      <alignment horizontal="center" vertical="center"/>
    </xf>
    <xf numFmtId="0" fontId="2" fillId="0" borderId="2" xfId="0" applyFont="1" applyBorder="1" applyAlignment="1">
      <alignment horizontal="center" vertical="center"/>
    </xf>
    <xf numFmtId="164" fontId="5" fillId="0" borderId="3" xfId="0" applyNumberFormat="1" applyFont="1" applyBorder="1" applyAlignment="1">
      <alignment horizontal="center" vertical="center"/>
    </xf>
    <xf numFmtId="0" fontId="11" fillId="3" borderId="2" xfId="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0" fillId="0" borderId="2" xfId="0" applyBorder="1" applyAlignment="1">
      <alignment horizontal="center"/>
    </xf>
    <xf numFmtId="0" fontId="4" fillId="0" borderId="2" xfId="0" applyFont="1" applyBorder="1" applyAlignment="1">
      <alignment horizontal="center" vertical="center"/>
    </xf>
    <xf numFmtId="0" fontId="4" fillId="0" borderId="0" xfId="0" applyFont="1" applyAlignment="1">
      <alignment horizontal="center" vertical="center"/>
    </xf>
    <xf numFmtId="0" fontId="1" fillId="0" borderId="0" xfId="0" applyFont="1" applyAlignment="1">
      <alignment horizontal="center" vertical="center"/>
    </xf>
    <xf numFmtId="0" fontId="10" fillId="3" borderId="2" xfId="1" applyBorder="1" applyAlignment="1">
      <alignment horizontal="center" vertical="center"/>
    </xf>
    <xf numFmtId="0" fontId="1" fillId="0" borderId="1" xfId="0" applyFont="1" applyBorder="1" applyAlignment="1">
      <alignment vertical="center"/>
    </xf>
    <xf numFmtId="0" fontId="1" fillId="0" borderId="2" xfId="0" applyFont="1" applyBorder="1" applyAlignment="1">
      <alignment horizontal="center" vertical="center"/>
    </xf>
    <xf numFmtId="2" fontId="4" fillId="0" borderId="2" xfId="0" applyNumberFormat="1" applyFont="1" applyBorder="1" applyAlignment="1">
      <alignment horizontal="center" vertical="center"/>
    </xf>
    <xf numFmtId="0" fontId="4" fillId="0" borderId="2" xfId="0" applyNumberFormat="1" applyFont="1" applyBorder="1" applyAlignment="1">
      <alignment horizontal="center" vertical="center"/>
    </xf>
    <xf numFmtId="0" fontId="11" fillId="3" borderId="4" xfId="1" applyFont="1" applyBorder="1" applyAlignment="1">
      <alignment horizontal="center" vertical="center"/>
    </xf>
    <xf numFmtId="0" fontId="11" fillId="3" borderId="6" xfId="1" applyFont="1" applyBorder="1" applyAlignment="1">
      <alignment horizontal="center" vertical="center"/>
    </xf>
    <xf numFmtId="0" fontId="11" fillId="3" borderId="5" xfId="1" applyFont="1" applyBorder="1" applyAlignment="1">
      <alignment horizontal="center" vertic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10" workbookViewId="0">
      <selection activeCell="D48" sqref="D48"/>
    </sheetView>
  </sheetViews>
  <sheetFormatPr defaultColWidth="14.44140625" defaultRowHeight="15" customHeight="1"/>
  <cols>
    <col min="1" max="1" width="75.441406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3" t="s">
        <v>1</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2</v>
      </c>
      <c r="B5" s="2"/>
      <c r="C5" s="2"/>
      <c r="D5" s="2"/>
      <c r="E5" s="2"/>
      <c r="F5" s="2"/>
      <c r="G5" s="2"/>
      <c r="H5" s="2"/>
      <c r="I5" s="2"/>
      <c r="J5" s="2"/>
      <c r="K5" s="2"/>
      <c r="L5" s="2"/>
      <c r="M5" s="2"/>
      <c r="N5" s="2"/>
      <c r="O5" s="2"/>
      <c r="P5" s="2"/>
      <c r="Q5" s="2"/>
      <c r="R5" s="2"/>
      <c r="S5" s="2"/>
      <c r="T5" s="2"/>
      <c r="U5" s="2"/>
      <c r="V5" s="2"/>
      <c r="W5" s="2"/>
      <c r="X5" s="2"/>
      <c r="Y5" s="2"/>
      <c r="Z5" s="2"/>
    </row>
    <row r="6" spans="1:26">
      <c r="A6" s="4" t="s">
        <v>3</v>
      </c>
      <c r="B6" s="2"/>
      <c r="C6" s="2"/>
      <c r="D6" s="2"/>
      <c r="E6" s="2"/>
      <c r="F6" s="2"/>
      <c r="G6" s="2"/>
      <c r="H6" s="2"/>
      <c r="I6" s="2"/>
      <c r="J6" s="2"/>
      <c r="K6" s="2"/>
      <c r="L6" s="2"/>
      <c r="M6" s="2"/>
      <c r="N6" s="2"/>
      <c r="O6" s="2"/>
      <c r="P6" s="2"/>
      <c r="Q6" s="2"/>
      <c r="R6" s="2"/>
      <c r="S6" s="2"/>
      <c r="T6" s="2"/>
      <c r="U6" s="2"/>
      <c r="V6" s="2"/>
      <c r="W6" s="2"/>
      <c r="X6" s="2"/>
      <c r="Y6" s="2"/>
      <c r="Z6" s="2"/>
    </row>
    <row r="7" spans="1:26">
      <c r="A7" s="5" t="s">
        <v>4</v>
      </c>
      <c r="B7" s="2"/>
      <c r="C7" s="2"/>
      <c r="D7" s="2"/>
      <c r="E7" s="2"/>
      <c r="F7" s="2"/>
      <c r="G7" s="2"/>
      <c r="H7" s="2"/>
      <c r="I7" s="2"/>
      <c r="J7" s="2"/>
      <c r="K7" s="2"/>
      <c r="L7" s="2"/>
      <c r="M7" s="2"/>
      <c r="N7" s="2"/>
      <c r="O7" s="2"/>
      <c r="P7" s="2"/>
      <c r="Q7" s="2"/>
      <c r="R7" s="2"/>
      <c r="S7" s="2"/>
      <c r="T7" s="2"/>
      <c r="U7" s="2"/>
      <c r="V7" s="2"/>
      <c r="W7" s="2"/>
      <c r="X7" s="2"/>
      <c r="Y7" s="2"/>
      <c r="Z7" s="2"/>
    </row>
    <row r="8" spans="1:26">
      <c r="A8" s="5" t="s">
        <v>5</v>
      </c>
      <c r="B8" s="2"/>
      <c r="C8" s="2"/>
      <c r="D8" s="2"/>
      <c r="E8" s="2"/>
      <c r="F8" s="2"/>
      <c r="G8" s="2"/>
      <c r="H8" s="2"/>
      <c r="I8" s="2"/>
      <c r="J8" s="2"/>
      <c r="K8" s="2"/>
      <c r="L8" s="2"/>
      <c r="M8" s="2"/>
      <c r="N8" s="2"/>
      <c r="O8" s="2"/>
      <c r="P8" s="2"/>
      <c r="Q8" s="2"/>
      <c r="R8" s="2"/>
      <c r="S8" s="2"/>
      <c r="T8" s="2"/>
      <c r="U8" s="2"/>
      <c r="V8" s="2"/>
      <c r="W8" s="2"/>
      <c r="X8" s="2"/>
      <c r="Y8" s="2"/>
      <c r="Z8" s="2"/>
    </row>
    <row r="9" spans="1:26">
      <c r="A9" s="5"/>
      <c r="B9" s="2"/>
      <c r="C9" s="2"/>
      <c r="D9" s="2"/>
      <c r="E9" s="2"/>
      <c r="F9" s="2"/>
      <c r="G9" s="2"/>
      <c r="H9" s="2"/>
      <c r="I9" s="2"/>
      <c r="J9" s="2"/>
      <c r="K9" s="2"/>
      <c r="L9" s="2"/>
      <c r="M9" s="2"/>
      <c r="N9" s="2"/>
      <c r="O9" s="2"/>
      <c r="P9" s="2"/>
      <c r="Q9" s="2"/>
      <c r="R9" s="2"/>
      <c r="S9" s="2"/>
      <c r="T9" s="2"/>
      <c r="U9" s="2"/>
      <c r="V9" s="2"/>
      <c r="W9" s="2"/>
      <c r="X9" s="2"/>
      <c r="Y9" s="2"/>
      <c r="Z9" s="2"/>
    </row>
    <row r="10" spans="1:26">
      <c r="A10" s="4"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5"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5"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5"/>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4"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5"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5"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5"/>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5"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5"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5"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5"/>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4" t="s">
        <v>141</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5" t="s">
        <v>16</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5" t="s">
        <v>17</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5"/>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4" t="s">
        <v>18</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6" t="s">
        <v>19</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5" t="s">
        <v>20</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5"/>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4" t="s">
        <v>21</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5" t="s">
        <v>22</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5" t="s">
        <v>23</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5"/>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4" t="s">
        <v>24</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5" t="s">
        <v>25</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5" t="s">
        <v>26</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5"/>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4" t="s">
        <v>27</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5" t="s">
        <v>28</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5"/>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4" t="s">
        <v>29</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5" t="s">
        <v>30</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5"/>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4" t="s">
        <v>31</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5" t="s">
        <v>32</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5"/>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4" t="s">
        <v>33</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5" t="s">
        <v>34</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5" t="s">
        <v>35</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5"/>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4" t="s">
        <v>36</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5" t="s">
        <v>37</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5"/>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4" t="s">
        <v>38</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5" t="s">
        <v>39</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selection activeCell="G42" sqref="G42"/>
    </sheetView>
  </sheetViews>
  <sheetFormatPr defaultColWidth="14.44140625" defaultRowHeight="15" customHeight="1"/>
  <cols>
    <col min="1" max="1" width="10.33203125" customWidth="1"/>
    <col min="2" max="2" width="10.44140625" customWidth="1"/>
    <col min="3" max="3" width="5.88671875" customWidth="1"/>
    <col min="4" max="4" width="7.5546875" customWidth="1"/>
    <col min="5" max="5" width="7.33203125" customWidth="1"/>
    <col min="6" max="6" width="18.88671875" customWidth="1"/>
    <col min="7" max="7" width="23.44140625" bestFit="1" customWidth="1"/>
    <col min="8" max="8" width="11.21875" customWidth="1"/>
    <col min="9" max="9" width="14.6640625" customWidth="1"/>
    <col min="10" max="10" width="8.5546875" customWidth="1"/>
    <col min="11" max="11" width="7.33203125" customWidth="1"/>
    <col min="12" max="12" width="25.33203125" customWidth="1"/>
    <col min="13" max="13" width="21.88671875" customWidth="1"/>
    <col min="14" max="15" width="11.88671875" customWidth="1"/>
    <col min="16" max="27" width="8.6640625" customWidth="1"/>
  </cols>
  <sheetData>
    <row r="1" spans="1:27" ht="14.4">
      <c r="A1" s="9" t="s">
        <v>40</v>
      </c>
      <c r="B1" s="9" t="s">
        <v>41</v>
      </c>
      <c r="C1" s="9" t="s">
        <v>42</v>
      </c>
      <c r="D1" s="9" t="s">
        <v>43</v>
      </c>
      <c r="E1" s="9" t="s">
        <v>44</v>
      </c>
      <c r="F1" s="9" t="s">
        <v>45</v>
      </c>
      <c r="G1" s="11" t="s">
        <v>129</v>
      </c>
      <c r="H1" s="13" t="s">
        <v>133</v>
      </c>
      <c r="I1" s="13" t="s">
        <v>130</v>
      </c>
      <c r="J1" s="13" t="s">
        <v>131</v>
      </c>
      <c r="K1" s="13" t="s">
        <v>132</v>
      </c>
      <c r="L1" s="13" t="s">
        <v>136</v>
      </c>
      <c r="M1" s="13" t="s">
        <v>148</v>
      </c>
      <c r="N1" s="13" t="s">
        <v>149</v>
      </c>
      <c r="O1" s="13" t="s">
        <v>150</v>
      </c>
      <c r="P1" s="6"/>
      <c r="Q1" s="6"/>
      <c r="R1" s="6"/>
      <c r="S1" s="6"/>
      <c r="T1" s="6"/>
      <c r="U1" s="6"/>
      <c r="V1" s="6"/>
      <c r="W1" s="6"/>
      <c r="X1" s="6"/>
      <c r="Y1" s="6"/>
      <c r="Z1" s="6"/>
      <c r="AA1" s="6"/>
    </row>
    <row r="2" spans="1:27" ht="14.4">
      <c r="A2" s="7">
        <v>1001</v>
      </c>
      <c r="B2" s="10" t="s">
        <v>46</v>
      </c>
      <c r="C2" s="7">
        <v>61</v>
      </c>
      <c r="D2" s="7">
        <v>48</v>
      </c>
      <c r="E2" s="7">
        <v>76</v>
      </c>
      <c r="F2" s="8">
        <v>43101</v>
      </c>
      <c r="G2" s="12">
        <v>43101</v>
      </c>
      <c r="H2" s="14">
        <f>C2+D2+E2</f>
        <v>185</v>
      </c>
      <c r="I2" s="15">
        <f>(C2+D2+E2)/3</f>
        <v>61.666666666666664</v>
      </c>
      <c r="J2" s="16" t="s">
        <v>134</v>
      </c>
      <c r="K2" s="15" t="str">
        <f>IF(H2&gt;=270,"A", IF(H2&gt;=240,"B", IF(H2&gt;=210,"C", IF(H2&gt;=180,"D","Fail"))))</f>
        <v>D</v>
      </c>
      <c r="L2" s="15" t="str">
        <f>IF(AND(C2&gt;80,D2&gt;80),"Yes", "No")</f>
        <v>No</v>
      </c>
      <c r="M2" s="15" t="str">
        <f>LEFT(B2,FIND(" ",B2)-1)</f>
        <v>Student</v>
      </c>
      <c r="N2" s="15" t="str">
        <f>UPPER(B2)</f>
        <v>STUDENT 1</v>
      </c>
      <c r="O2" s="15" t="str">
        <f>LOWER(B2)</f>
        <v>student 1</v>
      </c>
      <c r="P2" s="6"/>
      <c r="Q2" s="6"/>
      <c r="R2" s="6"/>
      <c r="S2" s="6"/>
      <c r="T2" s="6"/>
      <c r="U2" s="6"/>
      <c r="V2" s="6"/>
      <c r="W2" s="6"/>
      <c r="X2" s="6"/>
      <c r="Y2" s="6"/>
      <c r="Z2" s="6"/>
      <c r="AA2" s="6"/>
    </row>
    <row r="3" spans="1:27" ht="14.4">
      <c r="A3" s="7">
        <v>1002</v>
      </c>
      <c r="B3" s="10" t="s">
        <v>47</v>
      </c>
      <c r="C3" s="7">
        <v>78</v>
      </c>
      <c r="D3" s="7">
        <v>76</v>
      </c>
      <c r="E3" s="7">
        <v>70</v>
      </c>
      <c r="F3" s="8">
        <v>43281</v>
      </c>
      <c r="G3" s="12">
        <v>43281</v>
      </c>
      <c r="H3" s="14">
        <f t="shared" ref="H3:H21" si="0">C3+D3+E3</f>
        <v>224</v>
      </c>
      <c r="I3" s="15">
        <f>(C3+D3+E3)/3</f>
        <v>74.666666666666671</v>
      </c>
      <c r="J3" s="15" t="str">
        <f t="shared" ref="J3:J21" si="1">IF(I3&gt;=$F$25,"Pass","Fail")</f>
        <v>Pass</v>
      </c>
      <c r="K3" s="15" t="str">
        <f t="shared" ref="K3:K21" si="2">IF(H3&gt;=270,"A", IF(H3&gt;=240,"B", IF(H3&gt;=210,"C", IF(H3&gt;=180,"D","Fail"))))</f>
        <v>C</v>
      </c>
      <c r="L3" s="15" t="str">
        <f t="shared" ref="L3:L21" si="3">IF(AND(C3&gt;80,D3&gt;80),"Yes", "No")</f>
        <v>No</v>
      </c>
      <c r="M3" s="15" t="str">
        <f t="shared" ref="M3:M21" si="4">LEFT(B3,FIND(" ",B3)-1)</f>
        <v>Student</v>
      </c>
      <c r="N3" s="15" t="str">
        <f t="shared" ref="N3:N21" si="5">UPPER(B3)</f>
        <v>STUDENT 2</v>
      </c>
      <c r="O3" s="15" t="str">
        <f t="shared" ref="O3:O21" si="6">LOWER(B3)</f>
        <v>student 2</v>
      </c>
      <c r="P3" s="6"/>
      <c r="Q3" s="6"/>
      <c r="R3" s="6"/>
      <c r="S3" s="6"/>
      <c r="T3" s="6"/>
      <c r="U3" s="6"/>
      <c r="V3" s="6"/>
      <c r="W3" s="6"/>
      <c r="X3" s="6"/>
      <c r="Y3" s="6"/>
      <c r="Z3" s="6"/>
      <c r="AA3" s="6"/>
    </row>
    <row r="4" spans="1:27" ht="14.4">
      <c r="A4" s="7">
        <v>1003</v>
      </c>
      <c r="B4" s="10" t="s">
        <v>48</v>
      </c>
      <c r="C4" s="7">
        <v>97</v>
      </c>
      <c r="D4" s="7">
        <v>60</v>
      </c>
      <c r="E4" s="7">
        <v>51</v>
      </c>
      <c r="F4" s="8">
        <v>43461</v>
      </c>
      <c r="G4" s="12">
        <v>43461</v>
      </c>
      <c r="H4" s="14">
        <f t="shared" si="0"/>
        <v>208</v>
      </c>
      <c r="I4" s="15">
        <f t="shared" ref="I4:I21" si="7">(C4+D4+E4)/3</f>
        <v>69.333333333333329</v>
      </c>
      <c r="J4" s="15" t="str">
        <f t="shared" si="1"/>
        <v>Pass</v>
      </c>
      <c r="K4" s="15" t="str">
        <f t="shared" si="2"/>
        <v>D</v>
      </c>
      <c r="L4" s="15" t="str">
        <f t="shared" si="3"/>
        <v>No</v>
      </c>
      <c r="M4" s="15" t="str">
        <f t="shared" si="4"/>
        <v>Student</v>
      </c>
      <c r="N4" s="15" t="str">
        <f t="shared" si="5"/>
        <v>STUDENT 3</v>
      </c>
      <c r="O4" s="15" t="str">
        <f t="shared" si="6"/>
        <v>student 3</v>
      </c>
      <c r="P4" s="6"/>
      <c r="Q4" s="6"/>
      <c r="R4" s="6"/>
      <c r="S4" s="6"/>
      <c r="T4" s="6"/>
      <c r="U4" s="6"/>
      <c r="V4" s="6"/>
      <c r="W4" s="6"/>
      <c r="X4" s="6"/>
      <c r="Y4" s="6"/>
      <c r="Z4" s="6"/>
      <c r="AA4" s="6"/>
    </row>
    <row r="5" spans="1:27" ht="14.4">
      <c r="A5" s="7">
        <v>1004</v>
      </c>
      <c r="B5" s="10" t="s">
        <v>49</v>
      </c>
      <c r="C5" s="7">
        <v>74</v>
      </c>
      <c r="D5" s="7">
        <v>55</v>
      </c>
      <c r="E5" s="7">
        <v>46</v>
      </c>
      <c r="F5" s="8">
        <v>43641</v>
      </c>
      <c r="G5" s="12">
        <v>43641</v>
      </c>
      <c r="H5" s="14">
        <f t="shared" si="0"/>
        <v>175</v>
      </c>
      <c r="I5" s="15">
        <f t="shared" si="7"/>
        <v>58.333333333333336</v>
      </c>
      <c r="J5" s="15" t="str">
        <f t="shared" si="1"/>
        <v>Pass</v>
      </c>
      <c r="K5" s="15" t="str">
        <f t="shared" si="2"/>
        <v>Fail</v>
      </c>
      <c r="L5" s="15" t="str">
        <f t="shared" si="3"/>
        <v>No</v>
      </c>
      <c r="M5" s="15" t="str">
        <f t="shared" si="4"/>
        <v>Student</v>
      </c>
      <c r="N5" s="15" t="str">
        <f t="shared" si="5"/>
        <v>STUDENT 4</v>
      </c>
      <c r="O5" s="15" t="str">
        <f t="shared" si="6"/>
        <v>student 4</v>
      </c>
      <c r="P5" s="6"/>
      <c r="Q5" s="6"/>
      <c r="R5" s="6"/>
      <c r="S5" s="6"/>
      <c r="T5" s="6"/>
      <c r="U5" s="6"/>
      <c r="V5" s="6"/>
      <c r="W5" s="6"/>
      <c r="X5" s="6"/>
      <c r="Y5" s="6"/>
      <c r="Z5" s="6"/>
      <c r="AA5" s="6"/>
    </row>
    <row r="6" spans="1:27" ht="14.4">
      <c r="A6" s="7">
        <v>1005</v>
      </c>
      <c r="B6" s="10" t="s">
        <v>50</v>
      </c>
      <c r="C6" s="7">
        <v>68</v>
      </c>
      <c r="D6" s="7">
        <v>74</v>
      </c>
      <c r="E6" s="7">
        <v>84</v>
      </c>
      <c r="F6" s="8">
        <v>43821</v>
      </c>
      <c r="G6" s="12">
        <v>43821</v>
      </c>
      <c r="H6" s="14">
        <f t="shared" si="0"/>
        <v>226</v>
      </c>
      <c r="I6" s="15">
        <f t="shared" si="7"/>
        <v>75.333333333333329</v>
      </c>
      <c r="J6" s="15" t="str">
        <f t="shared" si="1"/>
        <v>Pass</v>
      </c>
      <c r="K6" s="15" t="str">
        <f t="shared" si="2"/>
        <v>C</v>
      </c>
      <c r="L6" s="15" t="str">
        <f t="shared" si="3"/>
        <v>No</v>
      </c>
      <c r="M6" s="15" t="str">
        <f t="shared" si="4"/>
        <v>Student</v>
      </c>
      <c r="N6" s="15" t="str">
        <f t="shared" si="5"/>
        <v>STUDENT 5</v>
      </c>
      <c r="O6" s="15" t="str">
        <f t="shared" si="6"/>
        <v>student 5</v>
      </c>
      <c r="P6" s="6"/>
      <c r="Q6" s="6"/>
      <c r="R6" s="6"/>
      <c r="S6" s="6"/>
      <c r="T6" s="6"/>
      <c r="U6" s="6"/>
      <c r="V6" s="6"/>
      <c r="W6" s="6"/>
      <c r="X6" s="6"/>
      <c r="Y6" s="6"/>
      <c r="Z6" s="6"/>
      <c r="AA6" s="6"/>
    </row>
    <row r="7" spans="1:27" ht="14.4">
      <c r="A7" s="7">
        <v>1006</v>
      </c>
      <c r="B7" s="10" t="s">
        <v>51</v>
      </c>
      <c r="C7" s="7">
        <v>80</v>
      </c>
      <c r="D7" s="7">
        <v>70</v>
      </c>
      <c r="E7" s="7">
        <v>65</v>
      </c>
      <c r="F7" s="8">
        <v>44001</v>
      </c>
      <c r="G7" s="12">
        <v>44001</v>
      </c>
      <c r="H7" s="14">
        <f t="shared" si="0"/>
        <v>215</v>
      </c>
      <c r="I7" s="15">
        <f t="shared" si="7"/>
        <v>71.666666666666671</v>
      </c>
      <c r="J7" s="15" t="str">
        <f t="shared" si="1"/>
        <v>Pass</v>
      </c>
      <c r="K7" s="15" t="str">
        <f t="shared" si="2"/>
        <v>C</v>
      </c>
      <c r="L7" s="15" t="str">
        <f t="shared" si="3"/>
        <v>No</v>
      </c>
      <c r="M7" s="15" t="str">
        <f t="shared" si="4"/>
        <v>Student</v>
      </c>
      <c r="N7" s="15" t="str">
        <f t="shared" si="5"/>
        <v>STUDENT 6</v>
      </c>
      <c r="O7" s="15" t="str">
        <f t="shared" si="6"/>
        <v>student 6</v>
      </c>
      <c r="P7" s="6"/>
      <c r="Q7" s="6"/>
      <c r="R7" s="6"/>
      <c r="S7" s="6"/>
      <c r="T7" s="6"/>
      <c r="U7" s="6"/>
      <c r="V7" s="6"/>
      <c r="W7" s="6"/>
      <c r="X7" s="6"/>
      <c r="Y7" s="6"/>
      <c r="Z7" s="6"/>
      <c r="AA7" s="6"/>
    </row>
    <row r="8" spans="1:27" ht="14.4">
      <c r="A8" s="7">
        <v>1007</v>
      </c>
      <c r="B8" s="10" t="s">
        <v>52</v>
      </c>
      <c r="C8" s="7">
        <v>75</v>
      </c>
      <c r="D8" s="7">
        <v>47</v>
      </c>
      <c r="E8" s="7">
        <v>78</v>
      </c>
      <c r="F8" s="8">
        <v>44181</v>
      </c>
      <c r="G8" s="12">
        <v>44181</v>
      </c>
      <c r="H8" s="14">
        <f t="shared" si="0"/>
        <v>200</v>
      </c>
      <c r="I8" s="15">
        <f t="shared" si="7"/>
        <v>66.666666666666671</v>
      </c>
      <c r="J8" s="15" t="str">
        <f t="shared" si="1"/>
        <v>Pass</v>
      </c>
      <c r="K8" s="15" t="str">
        <f t="shared" si="2"/>
        <v>D</v>
      </c>
      <c r="L8" s="15" t="str">
        <f t="shared" si="3"/>
        <v>No</v>
      </c>
      <c r="M8" s="15" t="str">
        <f t="shared" si="4"/>
        <v>Student</v>
      </c>
      <c r="N8" s="15" t="str">
        <f t="shared" si="5"/>
        <v>STUDENT 7</v>
      </c>
      <c r="O8" s="15" t="str">
        <f t="shared" si="6"/>
        <v>student 7</v>
      </c>
      <c r="P8" s="6"/>
      <c r="Q8" s="6"/>
      <c r="R8" s="6"/>
      <c r="S8" s="6"/>
      <c r="T8" s="6"/>
      <c r="U8" s="6"/>
      <c r="V8" s="6"/>
      <c r="W8" s="6"/>
      <c r="X8" s="6"/>
      <c r="Y8" s="6"/>
      <c r="Z8" s="6"/>
      <c r="AA8" s="6"/>
    </row>
    <row r="9" spans="1:27" ht="14.4">
      <c r="A9" s="7">
        <v>1008</v>
      </c>
      <c r="B9" s="10" t="s">
        <v>53</v>
      </c>
      <c r="C9" s="7">
        <v>94</v>
      </c>
      <c r="D9" s="7">
        <v>67</v>
      </c>
      <c r="E9" s="7">
        <v>64</v>
      </c>
      <c r="F9" s="8">
        <v>44361</v>
      </c>
      <c r="G9" s="12">
        <v>44361</v>
      </c>
      <c r="H9" s="14">
        <f t="shared" si="0"/>
        <v>225</v>
      </c>
      <c r="I9" s="15">
        <f t="shared" si="7"/>
        <v>75</v>
      </c>
      <c r="J9" s="15" t="str">
        <f t="shared" si="1"/>
        <v>Pass</v>
      </c>
      <c r="K9" s="15" t="str">
        <f t="shared" si="2"/>
        <v>C</v>
      </c>
      <c r="L9" s="15" t="str">
        <f t="shared" si="3"/>
        <v>No</v>
      </c>
      <c r="M9" s="15" t="str">
        <f t="shared" si="4"/>
        <v>Student</v>
      </c>
      <c r="N9" s="15" t="str">
        <f t="shared" si="5"/>
        <v>STUDENT 8</v>
      </c>
      <c r="O9" s="15" t="str">
        <f t="shared" si="6"/>
        <v>student 8</v>
      </c>
      <c r="P9" s="6"/>
      <c r="Q9" s="6"/>
      <c r="R9" s="6"/>
      <c r="S9" s="6"/>
      <c r="T9" s="6"/>
      <c r="U9" s="6"/>
      <c r="V9" s="6"/>
      <c r="W9" s="6"/>
      <c r="X9" s="6"/>
      <c r="Y9" s="6"/>
      <c r="Z9" s="6"/>
      <c r="AA9" s="6"/>
    </row>
    <row r="10" spans="1:27" ht="14.4">
      <c r="A10" s="7">
        <v>1009</v>
      </c>
      <c r="B10" s="10" t="s">
        <v>54</v>
      </c>
      <c r="C10" s="7">
        <v>41</v>
      </c>
      <c r="D10" s="7">
        <v>75</v>
      </c>
      <c r="E10" s="7">
        <v>56</v>
      </c>
      <c r="F10" s="8">
        <v>44541</v>
      </c>
      <c r="G10" s="12">
        <v>44541</v>
      </c>
      <c r="H10" s="14">
        <f t="shared" si="0"/>
        <v>172</v>
      </c>
      <c r="I10" s="15">
        <f t="shared" si="7"/>
        <v>57.333333333333336</v>
      </c>
      <c r="J10" s="15" t="str">
        <f t="shared" si="1"/>
        <v>Pass</v>
      </c>
      <c r="K10" s="15" t="str">
        <f t="shared" si="2"/>
        <v>Fail</v>
      </c>
      <c r="L10" s="15" t="str">
        <f t="shared" si="3"/>
        <v>No</v>
      </c>
      <c r="M10" s="15" t="str">
        <f t="shared" si="4"/>
        <v>Student</v>
      </c>
      <c r="N10" s="15" t="str">
        <f t="shared" si="5"/>
        <v>STUDENT 9</v>
      </c>
      <c r="O10" s="15" t="str">
        <f t="shared" si="6"/>
        <v>student 9</v>
      </c>
      <c r="P10" s="6"/>
      <c r="Q10" s="6"/>
      <c r="R10" s="6"/>
      <c r="S10" s="6"/>
      <c r="T10" s="6"/>
      <c r="U10" s="6"/>
      <c r="V10" s="6"/>
      <c r="W10" s="6"/>
      <c r="X10" s="6"/>
      <c r="Y10" s="6"/>
      <c r="Z10" s="6"/>
      <c r="AA10" s="6"/>
    </row>
    <row r="11" spans="1:27" ht="14.4">
      <c r="A11" s="7">
        <v>1010</v>
      </c>
      <c r="B11" s="10" t="s">
        <v>55</v>
      </c>
      <c r="C11" s="7">
        <v>98</v>
      </c>
      <c r="D11" s="7">
        <v>54</v>
      </c>
      <c r="E11" s="7">
        <v>58</v>
      </c>
      <c r="F11" s="8">
        <v>44721</v>
      </c>
      <c r="G11" s="12">
        <v>44721</v>
      </c>
      <c r="H11" s="14">
        <f t="shared" si="0"/>
        <v>210</v>
      </c>
      <c r="I11" s="15">
        <f t="shared" si="7"/>
        <v>70</v>
      </c>
      <c r="J11" s="15" t="str">
        <f t="shared" si="1"/>
        <v>Pass</v>
      </c>
      <c r="K11" s="15" t="str">
        <f t="shared" si="2"/>
        <v>C</v>
      </c>
      <c r="L11" s="15" t="str">
        <f t="shared" si="3"/>
        <v>No</v>
      </c>
      <c r="M11" s="15" t="str">
        <f t="shared" si="4"/>
        <v>Student</v>
      </c>
      <c r="N11" s="15" t="str">
        <f t="shared" si="5"/>
        <v>STUDENT 10</v>
      </c>
      <c r="O11" s="15" t="str">
        <f t="shared" si="6"/>
        <v>student 10</v>
      </c>
      <c r="P11" s="6"/>
      <c r="Q11" s="6"/>
      <c r="R11" s="6"/>
      <c r="S11" s="6"/>
      <c r="T11" s="6"/>
      <c r="U11" s="6"/>
      <c r="V11" s="6"/>
      <c r="W11" s="6"/>
      <c r="X11" s="6"/>
      <c r="Y11" s="6"/>
      <c r="Z11" s="6"/>
      <c r="AA11" s="6"/>
    </row>
    <row r="12" spans="1:27" ht="14.4">
      <c r="A12" s="7">
        <v>1011</v>
      </c>
      <c r="B12" s="10" t="s">
        <v>56</v>
      </c>
      <c r="C12" s="7">
        <v>73</v>
      </c>
      <c r="D12" s="7">
        <v>79</v>
      </c>
      <c r="E12" s="7">
        <v>53</v>
      </c>
      <c r="F12" s="8">
        <v>44901</v>
      </c>
      <c r="G12" s="12">
        <v>44901</v>
      </c>
      <c r="H12" s="14">
        <f t="shared" si="0"/>
        <v>205</v>
      </c>
      <c r="I12" s="15">
        <f t="shared" si="7"/>
        <v>68.333333333333329</v>
      </c>
      <c r="J12" s="15" t="str">
        <f t="shared" si="1"/>
        <v>Pass</v>
      </c>
      <c r="K12" s="15" t="str">
        <f t="shared" si="2"/>
        <v>D</v>
      </c>
      <c r="L12" s="15" t="str">
        <f t="shared" si="3"/>
        <v>No</v>
      </c>
      <c r="M12" s="15" t="str">
        <f t="shared" si="4"/>
        <v>Student</v>
      </c>
      <c r="N12" s="15" t="str">
        <f t="shared" si="5"/>
        <v>STUDENT 11</v>
      </c>
      <c r="O12" s="15" t="str">
        <f t="shared" si="6"/>
        <v>student 11</v>
      </c>
      <c r="P12" s="6"/>
      <c r="Q12" s="6"/>
      <c r="R12" s="6"/>
      <c r="S12" s="6"/>
      <c r="T12" s="6"/>
      <c r="U12" s="6"/>
      <c r="V12" s="6"/>
      <c r="W12" s="6"/>
      <c r="X12" s="6"/>
      <c r="Y12" s="6"/>
      <c r="Z12" s="6"/>
      <c r="AA12" s="6"/>
    </row>
    <row r="13" spans="1:27" ht="14.4">
      <c r="A13" s="7">
        <v>1012</v>
      </c>
      <c r="B13" s="10" t="s">
        <v>57</v>
      </c>
      <c r="C13" s="7">
        <v>85</v>
      </c>
      <c r="D13" s="7">
        <v>89</v>
      </c>
      <c r="E13" s="7">
        <v>79</v>
      </c>
      <c r="F13" s="8">
        <v>45081</v>
      </c>
      <c r="G13" s="12">
        <v>45081</v>
      </c>
      <c r="H13" s="14">
        <f t="shared" si="0"/>
        <v>253</v>
      </c>
      <c r="I13" s="15">
        <f t="shared" si="7"/>
        <v>84.333333333333329</v>
      </c>
      <c r="J13" s="15" t="str">
        <f t="shared" si="1"/>
        <v>Pass</v>
      </c>
      <c r="K13" s="15" t="str">
        <f t="shared" si="2"/>
        <v>B</v>
      </c>
      <c r="L13" s="15" t="str">
        <f t="shared" si="3"/>
        <v>Yes</v>
      </c>
      <c r="M13" s="15" t="str">
        <f t="shared" si="4"/>
        <v>Student</v>
      </c>
      <c r="N13" s="15" t="str">
        <f t="shared" si="5"/>
        <v>STUDENT 12</v>
      </c>
      <c r="O13" s="15" t="str">
        <f t="shared" si="6"/>
        <v>student 12</v>
      </c>
      <c r="P13" s="6"/>
      <c r="Q13" s="6"/>
      <c r="R13" s="6"/>
      <c r="S13" s="6"/>
      <c r="T13" s="6"/>
      <c r="U13" s="6"/>
      <c r="V13" s="6"/>
      <c r="W13" s="6"/>
      <c r="X13" s="6"/>
      <c r="Y13" s="6"/>
      <c r="Z13" s="6"/>
      <c r="AA13" s="6"/>
    </row>
    <row r="14" spans="1:27" ht="14.4">
      <c r="A14" s="7">
        <v>1013</v>
      </c>
      <c r="B14" s="10" t="s">
        <v>58</v>
      </c>
      <c r="C14" s="7">
        <v>98</v>
      </c>
      <c r="D14" s="7">
        <v>90</v>
      </c>
      <c r="E14" s="7">
        <v>97</v>
      </c>
      <c r="F14" s="8">
        <v>45261</v>
      </c>
      <c r="G14" s="12">
        <v>45261</v>
      </c>
      <c r="H14" s="14">
        <f t="shared" si="0"/>
        <v>285</v>
      </c>
      <c r="I14" s="15">
        <f t="shared" si="7"/>
        <v>95</v>
      </c>
      <c r="J14" s="15" t="str">
        <f t="shared" si="1"/>
        <v>Pass</v>
      </c>
      <c r="K14" s="15" t="str">
        <f t="shared" si="2"/>
        <v>A</v>
      </c>
      <c r="L14" s="15" t="str">
        <f t="shared" si="3"/>
        <v>Yes</v>
      </c>
      <c r="M14" s="15" t="str">
        <f t="shared" si="4"/>
        <v>Student</v>
      </c>
      <c r="N14" s="15" t="str">
        <f t="shared" si="5"/>
        <v>STUDENT 13</v>
      </c>
      <c r="O14" s="15" t="str">
        <f t="shared" si="6"/>
        <v>student 13</v>
      </c>
      <c r="P14" s="6"/>
      <c r="Q14" s="6"/>
      <c r="R14" s="6"/>
      <c r="S14" s="6"/>
      <c r="T14" s="6"/>
      <c r="U14" s="6"/>
      <c r="V14" s="6"/>
      <c r="W14" s="6"/>
      <c r="X14" s="6"/>
      <c r="Y14" s="6"/>
      <c r="Z14" s="6"/>
      <c r="AA14" s="6"/>
    </row>
    <row r="15" spans="1:27" ht="14.4">
      <c r="A15" s="7">
        <v>1014</v>
      </c>
      <c r="B15" s="10" t="s">
        <v>59</v>
      </c>
      <c r="C15" s="7">
        <v>93</v>
      </c>
      <c r="D15" s="7">
        <v>40</v>
      </c>
      <c r="E15" s="7">
        <v>44</v>
      </c>
      <c r="F15" s="8">
        <v>45441</v>
      </c>
      <c r="G15" s="12">
        <v>45441</v>
      </c>
      <c r="H15" s="14">
        <f t="shared" si="0"/>
        <v>177</v>
      </c>
      <c r="I15" s="15">
        <f t="shared" si="7"/>
        <v>59</v>
      </c>
      <c r="J15" s="15" t="str">
        <f t="shared" si="1"/>
        <v>Pass</v>
      </c>
      <c r="K15" s="15" t="str">
        <f t="shared" si="2"/>
        <v>Fail</v>
      </c>
      <c r="L15" s="15" t="str">
        <f t="shared" si="3"/>
        <v>No</v>
      </c>
      <c r="M15" s="15" t="str">
        <f t="shared" si="4"/>
        <v>Student</v>
      </c>
      <c r="N15" s="15" t="str">
        <f t="shared" si="5"/>
        <v>STUDENT 14</v>
      </c>
      <c r="O15" s="15" t="str">
        <f t="shared" si="6"/>
        <v>student 14</v>
      </c>
      <c r="P15" s="6"/>
      <c r="Q15" s="6"/>
      <c r="R15" s="6"/>
      <c r="S15" s="6"/>
      <c r="T15" s="6"/>
      <c r="U15" s="6"/>
      <c r="V15" s="6"/>
      <c r="W15" s="6"/>
      <c r="X15" s="6"/>
      <c r="Y15" s="6"/>
      <c r="Z15" s="6"/>
      <c r="AA15" s="6"/>
    </row>
    <row r="16" spans="1:27" ht="14.4">
      <c r="A16" s="7">
        <v>1015</v>
      </c>
      <c r="B16" s="10" t="s">
        <v>60</v>
      </c>
      <c r="C16" s="7">
        <v>70</v>
      </c>
      <c r="D16" s="7">
        <v>51</v>
      </c>
      <c r="E16" s="7">
        <v>75</v>
      </c>
      <c r="F16" s="8">
        <v>45621</v>
      </c>
      <c r="G16" s="12">
        <v>45621</v>
      </c>
      <c r="H16" s="14">
        <f t="shared" si="0"/>
        <v>196</v>
      </c>
      <c r="I16" s="15">
        <f t="shared" si="7"/>
        <v>65.333333333333329</v>
      </c>
      <c r="J16" s="15" t="str">
        <f t="shared" si="1"/>
        <v>Pass</v>
      </c>
      <c r="K16" s="15" t="str">
        <f t="shared" si="2"/>
        <v>D</v>
      </c>
      <c r="L16" s="15" t="str">
        <f t="shared" si="3"/>
        <v>No</v>
      </c>
      <c r="M16" s="15" t="str">
        <f t="shared" si="4"/>
        <v>Student</v>
      </c>
      <c r="N16" s="15" t="str">
        <f t="shared" si="5"/>
        <v>STUDENT 15</v>
      </c>
      <c r="O16" s="15" t="str">
        <f t="shared" si="6"/>
        <v>student 15</v>
      </c>
      <c r="P16" s="6"/>
      <c r="Q16" s="6"/>
      <c r="R16" s="6"/>
      <c r="S16" s="6"/>
      <c r="T16" s="6"/>
      <c r="U16" s="6"/>
      <c r="V16" s="6"/>
      <c r="W16" s="6"/>
      <c r="X16" s="6"/>
      <c r="Y16" s="6"/>
      <c r="Z16" s="6"/>
      <c r="AA16" s="6"/>
    </row>
    <row r="17" spans="1:27" ht="14.4">
      <c r="A17" s="7">
        <v>1016</v>
      </c>
      <c r="B17" s="10" t="s">
        <v>61</v>
      </c>
      <c r="C17" s="7">
        <v>98</v>
      </c>
      <c r="D17" s="7">
        <v>77</v>
      </c>
      <c r="E17" s="7">
        <v>60</v>
      </c>
      <c r="F17" s="8">
        <v>45801</v>
      </c>
      <c r="G17" s="12">
        <v>45801</v>
      </c>
      <c r="H17" s="14">
        <f t="shared" si="0"/>
        <v>235</v>
      </c>
      <c r="I17" s="15">
        <f t="shared" si="7"/>
        <v>78.333333333333329</v>
      </c>
      <c r="J17" s="15" t="str">
        <f t="shared" si="1"/>
        <v>Pass</v>
      </c>
      <c r="K17" s="15" t="str">
        <f t="shared" si="2"/>
        <v>C</v>
      </c>
      <c r="L17" s="15" t="str">
        <f t="shared" si="3"/>
        <v>No</v>
      </c>
      <c r="M17" s="15" t="str">
        <f t="shared" si="4"/>
        <v>Student</v>
      </c>
      <c r="N17" s="15" t="str">
        <f t="shared" si="5"/>
        <v>STUDENT 16</v>
      </c>
      <c r="O17" s="15" t="str">
        <f t="shared" si="6"/>
        <v>student 16</v>
      </c>
      <c r="P17" s="6"/>
      <c r="Q17" s="6"/>
      <c r="R17" s="6"/>
      <c r="S17" s="6"/>
      <c r="T17" s="6"/>
      <c r="U17" s="6"/>
      <c r="V17" s="6"/>
      <c r="W17" s="6"/>
      <c r="X17" s="6"/>
      <c r="Y17" s="6"/>
      <c r="Z17" s="6"/>
      <c r="AA17" s="6"/>
    </row>
    <row r="18" spans="1:27" ht="14.4">
      <c r="A18" s="7">
        <v>1017</v>
      </c>
      <c r="B18" s="10" t="s">
        <v>62</v>
      </c>
      <c r="C18" s="7">
        <v>66</v>
      </c>
      <c r="D18" s="7">
        <v>59</v>
      </c>
      <c r="E18" s="7">
        <v>40</v>
      </c>
      <c r="F18" s="8">
        <v>45981</v>
      </c>
      <c r="G18" s="12">
        <v>45981</v>
      </c>
      <c r="H18" s="14">
        <f t="shared" si="0"/>
        <v>165</v>
      </c>
      <c r="I18" s="15">
        <f t="shared" si="7"/>
        <v>55</v>
      </c>
      <c r="J18" s="15" t="str">
        <f t="shared" si="1"/>
        <v>Pass</v>
      </c>
      <c r="K18" s="15" t="str">
        <f t="shared" si="2"/>
        <v>Fail</v>
      </c>
      <c r="L18" s="15" t="str">
        <f t="shared" si="3"/>
        <v>No</v>
      </c>
      <c r="M18" s="15" t="str">
        <f t="shared" si="4"/>
        <v>Student</v>
      </c>
      <c r="N18" s="15" t="str">
        <f t="shared" si="5"/>
        <v>STUDENT 17</v>
      </c>
      <c r="O18" s="15" t="str">
        <f t="shared" si="6"/>
        <v>student 17</v>
      </c>
      <c r="P18" s="6"/>
      <c r="Q18" s="6"/>
      <c r="R18" s="6"/>
      <c r="S18" s="6"/>
      <c r="T18" s="6"/>
      <c r="U18" s="6"/>
      <c r="V18" s="6"/>
      <c r="W18" s="6"/>
      <c r="X18" s="6"/>
      <c r="Y18" s="6"/>
      <c r="Z18" s="6"/>
      <c r="AA18" s="6"/>
    </row>
    <row r="19" spans="1:27" ht="14.4">
      <c r="A19" s="7">
        <v>1018</v>
      </c>
      <c r="B19" s="10" t="s">
        <v>63</v>
      </c>
      <c r="C19" s="7">
        <v>82</v>
      </c>
      <c r="D19" s="7">
        <v>48</v>
      </c>
      <c r="E19" s="7">
        <v>79</v>
      </c>
      <c r="F19" s="8">
        <v>46161</v>
      </c>
      <c r="G19" s="12">
        <v>46161</v>
      </c>
      <c r="H19" s="14">
        <f t="shared" si="0"/>
        <v>209</v>
      </c>
      <c r="I19" s="15">
        <f t="shared" si="7"/>
        <v>69.666666666666671</v>
      </c>
      <c r="J19" s="15" t="str">
        <f t="shared" si="1"/>
        <v>Pass</v>
      </c>
      <c r="K19" s="15" t="str">
        <f t="shared" si="2"/>
        <v>D</v>
      </c>
      <c r="L19" s="15" t="str">
        <f t="shared" si="3"/>
        <v>No</v>
      </c>
      <c r="M19" s="15" t="str">
        <f t="shared" si="4"/>
        <v>Student</v>
      </c>
      <c r="N19" s="15" t="str">
        <f t="shared" si="5"/>
        <v>STUDENT 18</v>
      </c>
      <c r="O19" s="15" t="str">
        <f t="shared" si="6"/>
        <v>student 18</v>
      </c>
      <c r="P19" s="6"/>
      <c r="Q19" s="6"/>
      <c r="R19" s="6"/>
      <c r="S19" s="6"/>
      <c r="T19" s="6"/>
      <c r="U19" s="6"/>
      <c r="V19" s="6"/>
      <c r="W19" s="6"/>
      <c r="X19" s="6"/>
      <c r="Y19" s="6"/>
      <c r="Z19" s="6"/>
      <c r="AA19" s="6"/>
    </row>
    <row r="20" spans="1:27" ht="14.4">
      <c r="A20" s="7">
        <v>1019</v>
      </c>
      <c r="B20" s="10" t="s">
        <v>64</v>
      </c>
      <c r="C20" s="7">
        <v>90</v>
      </c>
      <c r="D20" s="7">
        <v>78</v>
      </c>
      <c r="E20" s="7">
        <v>60</v>
      </c>
      <c r="F20" s="8">
        <v>46341</v>
      </c>
      <c r="G20" s="12">
        <v>46341</v>
      </c>
      <c r="H20" s="14">
        <f t="shared" si="0"/>
        <v>228</v>
      </c>
      <c r="I20" s="15">
        <f t="shared" si="7"/>
        <v>76</v>
      </c>
      <c r="J20" s="15" t="str">
        <f t="shared" si="1"/>
        <v>Pass</v>
      </c>
      <c r="K20" s="15" t="str">
        <f t="shared" si="2"/>
        <v>C</v>
      </c>
      <c r="L20" s="15" t="str">
        <f t="shared" si="3"/>
        <v>No</v>
      </c>
      <c r="M20" s="15" t="str">
        <f t="shared" si="4"/>
        <v>Student</v>
      </c>
      <c r="N20" s="15" t="str">
        <f t="shared" si="5"/>
        <v>STUDENT 19</v>
      </c>
      <c r="O20" s="15" t="str">
        <f t="shared" si="6"/>
        <v>student 19</v>
      </c>
      <c r="P20" s="6"/>
      <c r="Q20" s="6"/>
      <c r="R20" s="6"/>
      <c r="S20" s="6"/>
      <c r="T20" s="6"/>
      <c r="U20" s="6"/>
      <c r="V20" s="6"/>
      <c r="W20" s="6"/>
      <c r="X20" s="6"/>
      <c r="Y20" s="6"/>
      <c r="Z20" s="6"/>
      <c r="AA20" s="6"/>
    </row>
    <row r="21" spans="1:27" ht="15.75" customHeight="1">
      <c r="A21" s="7">
        <v>1020</v>
      </c>
      <c r="B21" s="10" t="s">
        <v>65</v>
      </c>
      <c r="C21" s="7">
        <v>83</v>
      </c>
      <c r="D21" s="7">
        <v>92</v>
      </c>
      <c r="E21" s="7">
        <v>55</v>
      </c>
      <c r="F21" s="8">
        <v>46521</v>
      </c>
      <c r="G21" s="12">
        <v>46521</v>
      </c>
      <c r="H21" s="14">
        <f t="shared" si="0"/>
        <v>230</v>
      </c>
      <c r="I21" s="15">
        <f t="shared" si="7"/>
        <v>76.666666666666671</v>
      </c>
      <c r="J21" s="15" t="str">
        <f t="shared" si="1"/>
        <v>Pass</v>
      </c>
      <c r="K21" s="15" t="str">
        <f t="shared" si="2"/>
        <v>C</v>
      </c>
      <c r="L21" s="15" t="str">
        <f t="shared" si="3"/>
        <v>Yes</v>
      </c>
      <c r="M21" s="15" t="str">
        <f t="shared" si="4"/>
        <v>Student</v>
      </c>
      <c r="N21" s="15" t="str">
        <f t="shared" si="5"/>
        <v>STUDENT 20</v>
      </c>
      <c r="O21" s="15" t="str">
        <f t="shared" si="6"/>
        <v>student 20</v>
      </c>
      <c r="P21" s="6"/>
      <c r="Q21" s="6"/>
      <c r="R21" s="6"/>
      <c r="S21" s="6"/>
      <c r="T21" s="6"/>
      <c r="U21" s="6"/>
      <c r="V21" s="6"/>
      <c r="W21" s="6"/>
      <c r="X21" s="6"/>
      <c r="Y21" s="6"/>
      <c r="Z21" s="6"/>
      <c r="AA21" s="6"/>
    </row>
    <row r="22" spans="1:27"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ht="15.75" customHeight="1">
      <c r="A23" s="18" t="s">
        <v>154</v>
      </c>
      <c r="B23" s="18"/>
      <c r="C23" s="6"/>
      <c r="D23" s="6"/>
      <c r="E23" s="6"/>
      <c r="F23" s="6"/>
      <c r="G23" s="6"/>
      <c r="H23" s="6"/>
      <c r="I23" s="6"/>
      <c r="J23" s="6"/>
      <c r="K23" s="6"/>
      <c r="L23" s="6"/>
      <c r="M23" s="6"/>
      <c r="N23" s="6"/>
      <c r="O23" s="6"/>
      <c r="P23" s="6"/>
      <c r="Q23" s="6"/>
      <c r="R23" s="6"/>
      <c r="S23" s="6"/>
      <c r="T23" s="6"/>
      <c r="U23" s="6"/>
      <c r="V23" s="6"/>
      <c r="W23" s="6"/>
      <c r="X23" s="6"/>
      <c r="Y23" s="6"/>
      <c r="Z23" s="6"/>
      <c r="AA23" s="6"/>
    </row>
    <row r="24" spans="1:27" ht="15.75" customHeight="1">
      <c r="A24" s="27" t="s">
        <v>134</v>
      </c>
      <c r="B24" s="15">
        <v>8</v>
      </c>
      <c r="C24" s="6"/>
      <c r="D24" s="6"/>
      <c r="E24" s="6"/>
      <c r="F24" s="6"/>
      <c r="G24" s="13" t="s">
        <v>156</v>
      </c>
      <c r="H24" s="6"/>
      <c r="I24" s="6"/>
      <c r="J24" s="6"/>
      <c r="K24" s="6"/>
      <c r="L24" s="6"/>
      <c r="M24" s="6"/>
      <c r="N24" s="6"/>
      <c r="O24" s="6"/>
      <c r="P24" s="6"/>
      <c r="Q24" s="6"/>
      <c r="R24" s="6"/>
      <c r="S24" s="6"/>
      <c r="T24" s="6"/>
      <c r="U24" s="6"/>
      <c r="V24" s="6"/>
      <c r="W24" s="6"/>
      <c r="X24" s="6"/>
      <c r="Y24" s="6"/>
      <c r="Z24" s="6"/>
      <c r="AA24" s="6"/>
    </row>
    <row r="25" spans="1:27" ht="15.75" customHeight="1">
      <c r="A25" s="15" t="str" cm="1">
        <f t="array" aca="1" ref="A25" ca="1">INDIRECT(A24&amp;B24)</f>
        <v>Student 7</v>
      </c>
      <c r="B25" s="15"/>
      <c r="C25" s="6"/>
      <c r="D25" s="6"/>
      <c r="E25" s="6"/>
      <c r="F25" s="6">
        <v>40</v>
      </c>
      <c r="G25" s="28">
        <f ca="1">TODAY()-F2</f>
        <v>3008</v>
      </c>
      <c r="H25" s="6"/>
      <c r="I25" s="6"/>
      <c r="J25" s="6"/>
      <c r="K25" s="6"/>
      <c r="L25" s="6"/>
      <c r="M25" s="6"/>
      <c r="N25" s="6"/>
      <c r="O25" s="6"/>
      <c r="P25" s="6"/>
      <c r="Q25" s="6"/>
      <c r="R25" s="6"/>
      <c r="S25" s="6"/>
      <c r="T25" s="6"/>
      <c r="U25" s="6"/>
      <c r="V25" s="6"/>
      <c r="W25" s="6"/>
      <c r="X25" s="6"/>
      <c r="Y25" s="6"/>
      <c r="Z25" s="6"/>
      <c r="AA25" s="6"/>
    </row>
    <row r="26" spans="1:27"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ht="15.75" customHeight="1">
      <c r="A28" s="18" t="s">
        <v>138</v>
      </c>
      <c r="B28" s="18"/>
      <c r="C28" s="6"/>
      <c r="D28" s="18" t="s">
        <v>140</v>
      </c>
      <c r="E28" s="18"/>
      <c r="F28" s="18"/>
      <c r="G28" s="6"/>
      <c r="H28" s="18" t="s">
        <v>40</v>
      </c>
      <c r="I28" s="18"/>
      <c r="J28" s="6"/>
      <c r="K28" s="6"/>
      <c r="L28" s="6"/>
      <c r="M28" s="6"/>
      <c r="N28" s="6"/>
      <c r="O28" s="6"/>
      <c r="P28" s="6"/>
      <c r="Q28" s="6"/>
      <c r="R28" s="6"/>
      <c r="S28" s="6"/>
      <c r="T28" s="6"/>
      <c r="U28" s="6"/>
      <c r="V28" s="6"/>
      <c r="W28" s="6"/>
      <c r="X28" s="6"/>
      <c r="Y28" s="6"/>
      <c r="Z28" s="6"/>
      <c r="AA28" s="6"/>
    </row>
    <row r="29" spans="1:27" ht="15.75" customHeight="1">
      <c r="A29" s="19">
        <f>COUNTIFS(C2:C21,"&gt;50")</f>
        <v>19</v>
      </c>
      <c r="B29" s="20"/>
      <c r="C29" s="6"/>
      <c r="D29" s="21">
        <f>AVERAGEIFS(C2:C21, C2:C21, "&gt;60")</f>
        <v>82.263157894736835</v>
      </c>
      <c r="E29" s="21"/>
      <c r="F29" s="21"/>
      <c r="G29" s="6"/>
      <c r="H29" s="22" t="str">
        <f>VLOOKUP(A8,A2:L21,2,FALSE)</f>
        <v>Student 7</v>
      </c>
      <c r="I29" s="22"/>
      <c r="J29" s="6"/>
      <c r="K29" s="6"/>
      <c r="L29" s="6"/>
      <c r="M29" s="6"/>
      <c r="N29" s="6"/>
      <c r="O29" s="6"/>
      <c r="P29" s="6"/>
      <c r="Q29" s="6"/>
      <c r="R29" s="6"/>
      <c r="S29" s="6"/>
      <c r="T29" s="6"/>
      <c r="U29" s="6"/>
      <c r="V29" s="6"/>
      <c r="W29" s="6"/>
      <c r="X29" s="6"/>
      <c r="Y29" s="6"/>
      <c r="Z29" s="6"/>
      <c r="AA29" s="6"/>
    </row>
    <row r="30" spans="1:27"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ht="15.75" customHeight="1">
      <c r="A32" s="30" t="s">
        <v>160</v>
      </c>
      <c r="B32" s="31"/>
      <c r="C32" s="31"/>
      <c r="D32" s="31"/>
      <c r="E32" s="32"/>
      <c r="F32" s="6"/>
      <c r="G32" s="6"/>
      <c r="H32" s="6"/>
      <c r="I32" s="6"/>
      <c r="J32" s="6"/>
      <c r="K32" s="6"/>
      <c r="L32" s="6"/>
      <c r="M32" s="6"/>
      <c r="N32" s="6"/>
      <c r="O32" s="6"/>
      <c r="P32" s="6"/>
      <c r="Q32" s="6"/>
      <c r="R32" s="6"/>
      <c r="S32" s="6"/>
      <c r="T32" s="6"/>
      <c r="U32" s="6"/>
      <c r="V32" s="6"/>
      <c r="W32" s="6"/>
      <c r="X32" s="6"/>
      <c r="Y32" s="6"/>
      <c r="Z32" s="6"/>
      <c r="AA32" s="6"/>
    </row>
    <row r="33" spans="1:27" ht="15.75" customHeight="1">
      <c r="A33" s="25" t="s">
        <v>40</v>
      </c>
      <c r="B33" s="25" t="s">
        <v>41</v>
      </c>
      <c r="C33" s="25" t="s">
        <v>42</v>
      </c>
      <c r="D33" s="25" t="s">
        <v>43</v>
      </c>
      <c r="E33" s="25" t="s">
        <v>44</v>
      </c>
      <c r="F33" s="6"/>
      <c r="G33" s="6"/>
      <c r="H33" s="6"/>
      <c r="I33" s="6"/>
      <c r="J33" s="6"/>
      <c r="K33" s="6"/>
      <c r="L33" s="6"/>
      <c r="M33" s="6"/>
      <c r="N33" s="6"/>
      <c r="O33" s="6"/>
      <c r="P33" s="6"/>
      <c r="Q33" s="6"/>
      <c r="R33" s="6"/>
      <c r="S33" s="6"/>
      <c r="T33" s="6"/>
      <c r="U33" s="6"/>
      <c r="V33" s="6"/>
      <c r="W33" s="6"/>
      <c r="X33" s="6"/>
      <c r="Y33" s="6"/>
      <c r="Z33" s="6"/>
      <c r="AA33" s="6"/>
    </row>
    <row r="34" spans="1:27" ht="15.75" customHeight="1">
      <c r="A34" s="15" cm="1">
        <f t="array" ref="A34:E43">_xlfn._xlws.FILTER(A2:E21,C2:C21&gt;80,"No Result")</f>
        <v>1003</v>
      </c>
      <c r="B34" s="15" t="str">
        <v>Student 3</v>
      </c>
      <c r="C34" s="15">
        <v>97</v>
      </c>
      <c r="D34" s="15">
        <v>60</v>
      </c>
      <c r="E34" s="15">
        <v>51</v>
      </c>
      <c r="F34" s="6"/>
      <c r="G34" s="6"/>
      <c r="H34" s="6"/>
      <c r="I34" s="6"/>
      <c r="J34" s="6"/>
      <c r="K34" s="6"/>
      <c r="L34" s="6"/>
      <c r="M34" s="6"/>
      <c r="N34" s="6"/>
      <c r="O34" s="6"/>
      <c r="P34" s="6"/>
      <c r="Q34" s="6"/>
      <c r="R34" s="6"/>
      <c r="S34" s="6"/>
      <c r="T34" s="6"/>
      <c r="U34" s="6"/>
      <c r="V34" s="6"/>
      <c r="W34" s="6"/>
      <c r="X34" s="6"/>
      <c r="Y34" s="6"/>
      <c r="Z34" s="6"/>
      <c r="AA34" s="6"/>
    </row>
    <row r="35" spans="1:27" ht="15.75" customHeight="1">
      <c r="A35" s="15">
        <v>1008</v>
      </c>
      <c r="B35" s="15" t="str">
        <v>Student 8</v>
      </c>
      <c r="C35" s="15">
        <v>94</v>
      </c>
      <c r="D35" s="15">
        <v>67</v>
      </c>
      <c r="E35" s="15">
        <v>64</v>
      </c>
      <c r="F35" s="6"/>
      <c r="G35" s="6"/>
      <c r="H35" s="6"/>
      <c r="I35" s="6"/>
      <c r="J35" s="6"/>
      <c r="K35" s="6"/>
      <c r="L35" s="6"/>
      <c r="M35" s="6"/>
      <c r="N35" s="6"/>
      <c r="O35" s="6"/>
      <c r="P35" s="6"/>
      <c r="Q35" s="6"/>
      <c r="R35" s="6"/>
      <c r="S35" s="6"/>
      <c r="T35" s="6"/>
      <c r="U35" s="6"/>
      <c r="V35" s="6"/>
      <c r="W35" s="6"/>
      <c r="X35" s="6"/>
      <c r="Y35" s="6"/>
      <c r="Z35" s="6"/>
      <c r="AA35" s="6"/>
    </row>
    <row r="36" spans="1:27" ht="15.75" customHeight="1">
      <c r="A36" s="15">
        <v>1010</v>
      </c>
      <c r="B36" s="15" t="str">
        <v>Student 10</v>
      </c>
      <c r="C36" s="15">
        <v>98</v>
      </c>
      <c r="D36" s="15">
        <v>54</v>
      </c>
      <c r="E36" s="15">
        <v>58</v>
      </c>
      <c r="F36" s="6"/>
      <c r="G36" s="6"/>
      <c r="H36" s="6"/>
      <c r="I36" s="6"/>
      <c r="J36" s="6"/>
      <c r="K36" s="6"/>
      <c r="L36" s="6"/>
      <c r="M36" s="6"/>
      <c r="N36" s="6"/>
      <c r="O36" s="6"/>
      <c r="P36" s="6"/>
      <c r="Q36" s="6"/>
      <c r="R36" s="6"/>
      <c r="S36" s="6"/>
      <c r="T36" s="6"/>
      <c r="U36" s="6"/>
      <c r="V36" s="6"/>
      <c r="W36" s="6"/>
      <c r="X36" s="6"/>
      <c r="Y36" s="6"/>
      <c r="Z36" s="6"/>
      <c r="AA36" s="6"/>
    </row>
    <row r="37" spans="1:27" ht="15.75" customHeight="1">
      <c r="A37" s="15">
        <v>1012</v>
      </c>
      <c r="B37" s="15" t="str">
        <v>Student 12</v>
      </c>
      <c r="C37" s="15">
        <v>85</v>
      </c>
      <c r="D37" s="15">
        <v>89</v>
      </c>
      <c r="E37" s="15">
        <v>79</v>
      </c>
      <c r="F37" s="6"/>
      <c r="G37" s="6"/>
      <c r="H37" s="6"/>
      <c r="I37" s="6"/>
      <c r="J37" s="6"/>
      <c r="K37" s="6"/>
      <c r="L37" s="6"/>
      <c r="M37" s="6"/>
      <c r="N37" s="6"/>
      <c r="O37" s="6"/>
      <c r="P37" s="6"/>
      <c r="Q37" s="6"/>
      <c r="R37" s="6"/>
      <c r="S37" s="6"/>
      <c r="T37" s="6"/>
      <c r="U37" s="6"/>
      <c r="V37" s="6"/>
      <c r="W37" s="6"/>
      <c r="X37" s="6"/>
      <c r="Y37" s="6"/>
      <c r="Z37" s="6"/>
      <c r="AA37" s="6"/>
    </row>
    <row r="38" spans="1:27" ht="15.75" customHeight="1">
      <c r="A38" s="15">
        <v>1013</v>
      </c>
      <c r="B38" s="15" t="str">
        <v>Student 13</v>
      </c>
      <c r="C38" s="15">
        <v>98</v>
      </c>
      <c r="D38" s="15">
        <v>90</v>
      </c>
      <c r="E38" s="15">
        <v>97</v>
      </c>
      <c r="F38" s="6"/>
      <c r="G38" s="6"/>
      <c r="H38" s="6"/>
      <c r="I38" s="6"/>
      <c r="J38" s="6"/>
      <c r="K38" s="6"/>
      <c r="L38" s="6"/>
      <c r="M38" s="6"/>
      <c r="N38" s="6"/>
      <c r="O38" s="6"/>
      <c r="P38" s="6"/>
      <c r="Q38" s="6"/>
      <c r="R38" s="6"/>
      <c r="S38" s="6"/>
      <c r="T38" s="6"/>
      <c r="U38" s="6"/>
      <c r="V38" s="6"/>
      <c r="W38" s="6"/>
      <c r="X38" s="6"/>
      <c r="Y38" s="6"/>
      <c r="Z38" s="6"/>
      <c r="AA38" s="6"/>
    </row>
    <row r="39" spans="1:27" ht="15.75" customHeight="1">
      <c r="A39" s="15">
        <v>1014</v>
      </c>
      <c r="B39" s="15" t="str">
        <v>Student 14</v>
      </c>
      <c r="C39" s="15">
        <v>93</v>
      </c>
      <c r="D39" s="15">
        <v>40</v>
      </c>
      <c r="E39" s="15">
        <v>44</v>
      </c>
      <c r="F39" s="6"/>
      <c r="G39" s="6"/>
      <c r="H39" s="6"/>
      <c r="I39" s="6"/>
      <c r="J39" s="6"/>
      <c r="K39" s="6"/>
      <c r="L39" s="6"/>
      <c r="M39" s="6"/>
      <c r="N39" s="6"/>
      <c r="O39" s="6"/>
      <c r="P39" s="6"/>
      <c r="Q39" s="6"/>
      <c r="R39" s="6"/>
      <c r="S39" s="6"/>
      <c r="T39" s="6"/>
      <c r="U39" s="6"/>
      <c r="V39" s="6"/>
      <c r="W39" s="6"/>
      <c r="X39" s="6"/>
      <c r="Y39" s="6"/>
      <c r="Z39" s="6"/>
      <c r="AA39" s="6"/>
    </row>
    <row r="40" spans="1:27" ht="15.75" customHeight="1">
      <c r="A40" s="15">
        <v>1016</v>
      </c>
      <c r="B40" s="15" t="str">
        <v>Student 16</v>
      </c>
      <c r="C40" s="15">
        <v>98</v>
      </c>
      <c r="D40" s="15">
        <v>77</v>
      </c>
      <c r="E40" s="15">
        <v>60</v>
      </c>
      <c r="F40" s="6"/>
      <c r="G40" s="6"/>
      <c r="H40" s="6"/>
      <c r="I40" s="6"/>
      <c r="J40" s="6"/>
      <c r="K40" s="6"/>
      <c r="L40" s="6"/>
      <c r="M40" s="6"/>
      <c r="N40" s="6"/>
      <c r="O40" s="6"/>
      <c r="P40" s="6"/>
      <c r="Q40" s="6"/>
      <c r="R40" s="6"/>
      <c r="S40" s="6"/>
      <c r="T40" s="6"/>
      <c r="U40" s="6"/>
      <c r="V40" s="6"/>
      <c r="W40" s="6"/>
      <c r="X40" s="6"/>
      <c r="Y40" s="6"/>
      <c r="Z40" s="6"/>
      <c r="AA40" s="6"/>
    </row>
    <row r="41" spans="1:27" ht="15.75" customHeight="1">
      <c r="A41" s="15">
        <v>1018</v>
      </c>
      <c r="B41" s="15" t="str">
        <v>Student 18</v>
      </c>
      <c r="C41" s="15">
        <v>82</v>
      </c>
      <c r="D41" s="15">
        <v>48</v>
      </c>
      <c r="E41" s="15">
        <v>79</v>
      </c>
      <c r="F41" s="6"/>
      <c r="G41" s="6"/>
      <c r="H41" s="6"/>
      <c r="I41" s="6"/>
      <c r="J41" s="6"/>
      <c r="K41" s="6"/>
      <c r="L41" s="6"/>
      <c r="M41" s="6"/>
      <c r="N41" s="6"/>
      <c r="O41" s="6"/>
      <c r="P41" s="6"/>
      <c r="Q41" s="6"/>
      <c r="R41" s="6"/>
      <c r="S41" s="6"/>
      <c r="T41" s="6"/>
      <c r="U41" s="6"/>
      <c r="V41" s="6"/>
      <c r="W41" s="6"/>
      <c r="X41" s="6"/>
      <c r="Y41" s="6"/>
      <c r="Z41" s="6"/>
      <c r="AA41" s="6"/>
    </row>
    <row r="42" spans="1:27" ht="15.75" customHeight="1">
      <c r="A42" s="15">
        <v>1019</v>
      </c>
      <c r="B42" s="15" t="str">
        <v>Student 19</v>
      </c>
      <c r="C42" s="15">
        <v>90</v>
      </c>
      <c r="D42" s="15">
        <v>78</v>
      </c>
      <c r="E42" s="15">
        <v>60</v>
      </c>
      <c r="F42" s="6"/>
      <c r="G42" s="6"/>
      <c r="H42" s="6"/>
      <c r="I42" s="6"/>
      <c r="J42" s="6"/>
      <c r="K42" s="6"/>
      <c r="L42" s="6"/>
      <c r="M42" s="6"/>
      <c r="N42" s="6"/>
      <c r="O42" s="6"/>
      <c r="P42" s="6"/>
      <c r="Q42" s="6"/>
      <c r="R42" s="6"/>
      <c r="S42" s="6"/>
      <c r="T42" s="6"/>
      <c r="U42" s="6"/>
      <c r="V42" s="6"/>
      <c r="W42" s="6"/>
      <c r="X42" s="6"/>
      <c r="Y42" s="6"/>
      <c r="Z42" s="6"/>
      <c r="AA42" s="6"/>
    </row>
    <row r="43" spans="1:27" ht="15.75" customHeight="1">
      <c r="A43" s="15">
        <v>1020</v>
      </c>
      <c r="B43" s="15" t="str">
        <v>Student 20</v>
      </c>
      <c r="C43" s="15">
        <v>83</v>
      </c>
      <c r="D43" s="15">
        <v>92</v>
      </c>
      <c r="E43" s="15">
        <v>55</v>
      </c>
      <c r="F43" s="6"/>
      <c r="G43" s="6"/>
      <c r="H43" s="6"/>
      <c r="I43" s="6"/>
      <c r="J43" s="6"/>
      <c r="K43" s="6"/>
      <c r="L43" s="6"/>
      <c r="M43" s="6"/>
      <c r="N43" s="6"/>
      <c r="O43" s="6"/>
      <c r="P43" s="6"/>
      <c r="Q43" s="6"/>
      <c r="R43" s="6"/>
      <c r="S43" s="6"/>
      <c r="T43" s="6"/>
      <c r="U43" s="6"/>
      <c r="V43" s="6"/>
      <c r="W43" s="6"/>
      <c r="X43" s="6"/>
      <c r="Y43" s="6"/>
      <c r="Z43" s="6"/>
      <c r="AA43" s="6"/>
    </row>
    <row r="44" spans="1:27"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mergeCells count="8">
    <mergeCell ref="A23:B23"/>
    <mergeCell ref="A32:E32"/>
    <mergeCell ref="A28:B28"/>
    <mergeCell ref="A29:B29"/>
    <mergeCell ref="D28:F28"/>
    <mergeCell ref="D29:F29"/>
    <mergeCell ref="H28:I28"/>
    <mergeCell ref="H29:I29"/>
  </mergeCells>
  <pageMargins left="0.75" right="0.75" top="1" bottom="1"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M10" sqref="M10"/>
    </sheetView>
  </sheetViews>
  <sheetFormatPr defaultColWidth="14.44140625" defaultRowHeight="15" customHeight="1"/>
  <cols>
    <col min="1" max="1" width="7.88671875" customWidth="1"/>
    <col min="2" max="2" width="9.109375" customWidth="1"/>
    <col min="3" max="3" width="7.109375" customWidth="1"/>
    <col min="4" max="4" width="11.5546875" customWidth="1"/>
    <col min="5" max="5" width="8.109375" customWidth="1"/>
    <col min="6" max="6" width="18.88671875" customWidth="1"/>
    <col min="7" max="7" width="10.109375" customWidth="1"/>
    <col min="8" max="8" width="16.44140625" customWidth="1"/>
    <col min="9" max="9" width="16.109375" bestFit="1" customWidth="1"/>
    <col min="10" max="10" width="13.33203125" bestFit="1" customWidth="1"/>
    <col min="11" max="11" width="12.109375" bestFit="1" customWidth="1"/>
    <col min="12" max="26" width="8.6640625" customWidth="1"/>
  </cols>
  <sheetData>
    <row r="1" spans="1:26" ht="14.4">
      <c r="A1" s="9" t="s">
        <v>66</v>
      </c>
      <c r="B1" s="9" t="s">
        <v>67</v>
      </c>
      <c r="C1" s="9" t="s">
        <v>68</v>
      </c>
      <c r="D1" s="9" t="s">
        <v>69</v>
      </c>
      <c r="E1" s="9" t="s">
        <v>70</v>
      </c>
      <c r="F1" s="11" t="s">
        <v>71</v>
      </c>
      <c r="G1" s="13" t="s">
        <v>135</v>
      </c>
      <c r="H1" s="13" t="s">
        <v>137</v>
      </c>
      <c r="I1" s="13" t="s">
        <v>157</v>
      </c>
      <c r="J1" s="13" t="s">
        <v>158</v>
      </c>
      <c r="K1" s="13" t="s">
        <v>159</v>
      </c>
      <c r="L1" s="6"/>
      <c r="M1" s="6"/>
      <c r="N1" s="6"/>
      <c r="O1" s="6"/>
      <c r="P1" s="6"/>
      <c r="Q1" s="6"/>
      <c r="R1" s="6"/>
      <c r="S1" s="6"/>
      <c r="T1" s="6"/>
      <c r="U1" s="6"/>
      <c r="V1" s="6"/>
      <c r="W1" s="6"/>
      <c r="X1" s="6"/>
      <c r="Y1" s="6"/>
      <c r="Z1" s="6"/>
    </row>
    <row r="2" spans="1:26" ht="14.4">
      <c r="A2" s="7">
        <v>2001</v>
      </c>
      <c r="B2" s="7" t="s">
        <v>72</v>
      </c>
      <c r="C2" s="7" t="s">
        <v>73</v>
      </c>
      <c r="D2" s="7" t="s">
        <v>74</v>
      </c>
      <c r="E2" s="7">
        <v>7048</v>
      </c>
      <c r="F2" s="17">
        <v>44927</v>
      </c>
      <c r="G2" s="15">
        <f>IF(E2&gt;=30000,E2*10%,0)</f>
        <v>0</v>
      </c>
      <c r="H2" s="15" t="str">
        <f>IF(OR(B4, E2&gt;30000), "Eligible", "Not Eligible")</f>
        <v>Not Eligible</v>
      </c>
      <c r="I2" s="15">
        <f>ROUND(E2,0)</f>
        <v>7048</v>
      </c>
      <c r="J2" s="15">
        <f>CEILING(E2,100)</f>
        <v>7100</v>
      </c>
      <c r="K2" s="15">
        <f>FLOOR(E2,100)</f>
        <v>7000</v>
      </c>
      <c r="L2" s="6"/>
      <c r="M2" s="6"/>
      <c r="N2" s="6"/>
      <c r="O2" s="6"/>
      <c r="P2" s="6"/>
      <c r="Q2" s="6"/>
      <c r="R2" s="6"/>
      <c r="S2" s="6"/>
      <c r="T2" s="6"/>
      <c r="U2" s="6"/>
      <c r="V2" s="6"/>
      <c r="W2" s="6"/>
      <c r="X2" s="6"/>
      <c r="Y2" s="6"/>
      <c r="Z2" s="6"/>
    </row>
    <row r="3" spans="1:26" ht="14.4">
      <c r="A3" s="7">
        <v>2002</v>
      </c>
      <c r="B3" s="7" t="s">
        <v>75</v>
      </c>
      <c r="C3" s="7" t="s">
        <v>76</v>
      </c>
      <c r="D3" s="7" t="s">
        <v>77</v>
      </c>
      <c r="E3" s="7">
        <v>17428</v>
      </c>
      <c r="F3" s="17">
        <v>44942</v>
      </c>
      <c r="G3" s="15">
        <f t="shared" ref="G3:G21" si="0">IF(E3&gt;=30000,E3*10%,0)</f>
        <v>0</v>
      </c>
      <c r="H3" s="15" t="str">
        <f t="shared" ref="H3:H21" si="1">IF(OR(B5, E3&gt;30000), "Eligible", "Not Eligible")</f>
        <v>Not Eligible</v>
      </c>
      <c r="I3" s="15">
        <f t="shared" ref="I3:I21" si="2">ROUND(E3,0)</f>
        <v>17428</v>
      </c>
      <c r="J3" s="15">
        <f t="shared" ref="J3:J21" si="3">CEILING(E3,100)</f>
        <v>17500</v>
      </c>
      <c r="K3" s="15">
        <f t="shared" ref="K3:K21" si="4">FLOOR(E3,100)</f>
        <v>17400</v>
      </c>
      <c r="L3" s="6"/>
      <c r="M3" s="6"/>
      <c r="N3" s="6"/>
      <c r="O3" s="6"/>
      <c r="P3" s="6"/>
      <c r="Q3" s="23"/>
      <c r="R3" s="23"/>
      <c r="S3" s="23"/>
      <c r="T3" s="6"/>
      <c r="U3" s="6"/>
      <c r="V3" s="6"/>
      <c r="W3" s="6"/>
      <c r="X3" s="6"/>
      <c r="Y3" s="6"/>
      <c r="Z3" s="6"/>
    </row>
    <row r="4" spans="1:26" ht="14.4">
      <c r="A4" s="7">
        <v>2003</v>
      </c>
      <c r="B4" s="7" t="s">
        <v>78</v>
      </c>
      <c r="C4" s="7" t="s">
        <v>73</v>
      </c>
      <c r="D4" s="7" t="s">
        <v>79</v>
      </c>
      <c r="E4" s="7">
        <v>23672</v>
      </c>
      <c r="F4" s="17">
        <v>44957</v>
      </c>
      <c r="G4" s="15">
        <f t="shared" si="0"/>
        <v>0</v>
      </c>
      <c r="H4" s="15" t="str">
        <f t="shared" si="1"/>
        <v>Not Eligible</v>
      </c>
      <c r="I4" s="15">
        <f t="shared" si="2"/>
        <v>23672</v>
      </c>
      <c r="J4" s="15">
        <f t="shared" si="3"/>
        <v>23700</v>
      </c>
      <c r="K4" s="15">
        <f t="shared" si="4"/>
        <v>23600</v>
      </c>
      <c r="L4" s="6"/>
      <c r="M4" s="6"/>
      <c r="N4" s="6"/>
      <c r="O4" s="6"/>
      <c r="P4" s="6"/>
      <c r="Q4" s="6"/>
      <c r="R4" s="24"/>
      <c r="S4" s="6"/>
      <c r="T4" s="6"/>
      <c r="U4" s="6"/>
      <c r="V4" s="6"/>
      <c r="W4" s="6"/>
      <c r="X4" s="6"/>
      <c r="Y4" s="6"/>
      <c r="Z4" s="6"/>
    </row>
    <row r="5" spans="1:26" ht="14.4">
      <c r="A5" s="7">
        <v>2004</v>
      </c>
      <c r="B5" s="7" t="s">
        <v>75</v>
      </c>
      <c r="C5" s="7" t="s">
        <v>80</v>
      </c>
      <c r="D5" s="7" t="s">
        <v>81</v>
      </c>
      <c r="E5" s="7">
        <v>5264</v>
      </c>
      <c r="F5" s="17">
        <v>44972</v>
      </c>
      <c r="G5" s="15">
        <f t="shared" si="0"/>
        <v>0</v>
      </c>
      <c r="H5" s="15" t="str">
        <f t="shared" si="1"/>
        <v>Not Eligible</v>
      </c>
      <c r="I5" s="15">
        <f t="shared" si="2"/>
        <v>5264</v>
      </c>
      <c r="J5" s="15">
        <f t="shared" si="3"/>
        <v>5300</v>
      </c>
      <c r="K5" s="15">
        <f t="shared" si="4"/>
        <v>5200</v>
      </c>
      <c r="L5" s="6"/>
      <c r="M5" s="6"/>
      <c r="N5" s="6"/>
      <c r="O5" s="6"/>
      <c r="P5" s="6"/>
      <c r="Q5" s="6"/>
      <c r="R5" s="6"/>
      <c r="S5" s="6"/>
      <c r="T5" s="6"/>
      <c r="U5" s="6"/>
      <c r="V5" s="6"/>
      <c r="W5" s="6"/>
      <c r="X5" s="6"/>
      <c r="Y5" s="6"/>
      <c r="Z5" s="6"/>
    </row>
    <row r="6" spans="1:26" ht="14.4">
      <c r="A6" s="7">
        <v>2005</v>
      </c>
      <c r="B6" s="7" t="s">
        <v>72</v>
      </c>
      <c r="C6" s="7" t="s">
        <v>82</v>
      </c>
      <c r="D6" s="7" t="s">
        <v>83</v>
      </c>
      <c r="E6" s="7">
        <v>43388</v>
      </c>
      <c r="F6" s="17">
        <v>44987</v>
      </c>
      <c r="G6" s="15">
        <f t="shared" si="0"/>
        <v>4338.8</v>
      </c>
      <c r="H6" s="15" t="str">
        <f t="shared" si="1"/>
        <v>Eligible</v>
      </c>
      <c r="I6" s="15">
        <f t="shared" si="2"/>
        <v>43388</v>
      </c>
      <c r="J6" s="15">
        <f t="shared" si="3"/>
        <v>43400</v>
      </c>
      <c r="K6" s="15">
        <f t="shared" si="4"/>
        <v>43300</v>
      </c>
      <c r="L6" s="6"/>
      <c r="M6" s="6"/>
      <c r="N6" s="6"/>
      <c r="O6" s="6"/>
      <c r="P6" s="6"/>
      <c r="Q6" s="6"/>
      <c r="R6" s="6"/>
      <c r="S6" s="6"/>
      <c r="T6" s="6"/>
      <c r="U6" s="6"/>
      <c r="V6" s="6"/>
      <c r="W6" s="6"/>
      <c r="X6" s="6"/>
      <c r="Y6" s="6"/>
      <c r="Z6" s="6"/>
    </row>
    <row r="7" spans="1:26" ht="14.4">
      <c r="A7" s="7">
        <v>2006</v>
      </c>
      <c r="B7" s="7" t="s">
        <v>78</v>
      </c>
      <c r="C7" s="7" t="s">
        <v>82</v>
      </c>
      <c r="D7" s="7" t="s">
        <v>84</v>
      </c>
      <c r="E7" s="7">
        <v>19757</v>
      </c>
      <c r="F7" s="17">
        <v>45002</v>
      </c>
      <c r="G7" s="15">
        <f t="shared" si="0"/>
        <v>0</v>
      </c>
      <c r="H7" s="15" t="str">
        <f t="shared" si="1"/>
        <v>Not Eligible</v>
      </c>
      <c r="I7" s="15">
        <f t="shared" si="2"/>
        <v>19757</v>
      </c>
      <c r="J7" s="15">
        <f t="shared" si="3"/>
        <v>19800</v>
      </c>
      <c r="K7" s="15">
        <f t="shared" si="4"/>
        <v>19700</v>
      </c>
      <c r="L7" s="6"/>
      <c r="M7" s="6"/>
      <c r="N7" s="6"/>
      <c r="O7" s="6"/>
      <c r="P7" s="6"/>
      <c r="Q7" s="6"/>
      <c r="R7" s="6"/>
      <c r="S7" s="6"/>
      <c r="T7" s="6"/>
      <c r="U7" s="6"/>
      <c r="V7" s="6"/>
      <c r="W7" s="6"/>
      <c r="X7" s="6"/>
      <c r="Y7" s="6"/>
      <c r="Z7" s="6"/>
    </row>
    <row r="8" spans="1:26" ht="14.4">
      <c r="A8" s="7">
        <v>2007</v>
      </c>
      <c r="B8" s="7" t="s">
        <v>78</v>
      </c>
      <c r="C8" s="7" t="s">
        <v>80</v>
      </c>
      <c r="D8" s="7" t="s">
        <v>85</v>
      </c>
      <c r="E8" s="7">
        <v>32058</v>
      </c>
      <c r="F8" s="17">
        <v>45017</v>
      </c>
      <c r="G8" s="15">
        <f t="shared" si="0"/>
        <v>3205.8</v>
      </c>
      <c r="H8" s="15" t="str">
        <f t="shared" si="1"/>
        <v>Eligible</v>
      </c>
      <c r="I8" s="15">
        <f t="shared" si="2"/>
        <v>32058</v>
      </c>
      <c r="J8" s="15">
        <f t="shared" si="3"/>
        <v>32100</v>
      </c>
      <c r="K8" s="15">
        <f t="shared" si="4"/>
        <v>32000</v>
      </c>
      <c r="L8" s="6"/>
      <c r="M8" s="6"/>
      <c r="N8" s="6"/>
      <c r="O8" s="6"/>
      <c r="P8" s="6"/>
      <c r="Q8" s="6"/>
      <c r="R8" s="6"/>
      <c r="S8" s="6"/>
      <c r="T8" s="6"/>
      <c r="U8" s="6"/>
      <c r="V8" s="6"/>
      <c r="W8" s="6"/>
      <c r="X8" s="6"/>
      <c r="Y8" s="6"/>
      <c r="Z8" s="6"/>
    </row>
    <row r="9" spans="1:26" ht="14.4">
      <c r="A9" s="7">
        <v>2008</v>
      </c>
      <c r="B9" s="7" t="s">
        <v>72</v>
      </c>
      <c r="C9" s="7" t="s">
        <v>80</v>
      </c>
      <c r="D9" s="7" t="s">
        <v>86</v>
      </c>
      <c r="E9" s="7">
        <v>46429</v>
      </c>
      <c r="F9" s="17">
        <v>45032</v>
      </c>
      <c r="G9" s="15">
        <f t="shared" si="0"/>
        <v>4642.9000000000005</v>
      </c>
      <c r="H9" s="15" t="str">
        <f t="shared" si="1"/>
        <v>Eligible</v>
      </c>
      <c r="I9" s="15">
        <f t="shared" si="2"/>
        <v>46429</v>
      </c>
      <c r="J9" s="15">
        <f t="shared" si="3"/>
        <v>46500</v>
      </c>
      <c r="K9" s="15">
        <f t="shared" si="4"/>
        <v>46400</v>
      </c>
      <c r="L9" s="6"/>
      <c r="M9" s="6"/>
      <c r="N9" s="6"/>
      <c r="O9" s="6"/>
      <c r="P9" s="6"/>
      <c r="Q9" s="6"/>
      <c r="R9" s="6"/>
      <c r="S9" s="6"/>
      <c r="T9" s="6"/>
      <c r="U9" s="6"/>
      <c r="V9" s="6"/>
      <c r="W9" s="6"/>
      <c r="X9" s="6"/>
      <c r="Y9" s="6"/>
      <c r="Z9" s="6"/>
    </row>
    <row r="10" spans="1:26" ht="14.4">
      <c r="A10" s="7">
        <v>2009</v>
      </c>
      <c r="B10" s="7" t="s">
        <v>75</v>
      </c>
      <c r="C10" s="7" t="s">
        <v>80</v>
      </c>
      <c r="D10" s="7" t="s">
        <v>87</v>
      </c>
      <c r="E10" s="7">
        <v>19746</v>
      </c>
      <c r="F10" s="17">
        <v>45047</v>
      </c>
      <c r="G10" s="15">
        <f t="shared" si="0"/>
        <v>0</v>
      </c>
      <c r="H10" s="15" t="str">
        <f t="shared" si="1"/>
        <v>Not Eligible</v>
      </c>
      <c r="I10" s="15">
        <f t="shared" si="2"/>
        <v>19746</v>
      </c>
      <c r="J10" s="15">
        <f t="shared" si="3"/>
        <v>19800</v>
      </c>
      <c r="K10" s="15">
        <f t="shared" si="4"/>
        <v>19700</v>
      </c>
      <c r="L10" s="6"/>
      <c r="M10" s="6"/>
      <c r="N10" s="6"/>
      <c r="O10" s="6"/>
      <c r="P10" s="6"/>
      <c r="Q10" s="6"/>
      <c r="R10" s="6"/>
      <c r="S10" s="6"/>
      <c r="T10" s="6"/>
      <c r="U10" s="6"/>
      <c r="V10" s="6"/>
      <c r="W10" s="6"/>
      <c r="X10" s="6"/>
      <c r="Y10" s="6"/>
      <c r="Z10" s="6"/>
    </row>
    <row r="11" spans="1:26" ht="14.4">
      <c r="A11" s="7">
        <v>2010</v>
      </c>
      <c r="B11" s="7" t="s">
        <v>72</v>
      </c>
      <c r="C11" s="7" t="s">
        <v>73</v>
      </c>
      <c r="D11" s="7" t="s">
        <v>88</v>
      </c>
      <c r="E11" s="7">
        <v>35185</v>
      </c>
      <c r="F11" s="17">
        <v>45062</v>
      </c>
      <c r="G11" s="15">
        <f t="shared" si="0"/>
        <v>3518.5</v>
      </c>
      <c r="H11" s="15" t="str">
        <f t="shared" si="1"/>
        <v>Eligible</v>
      </c>
      <c r="I11" s="15">
        <f t="shared" si="2"/>
        <v>35185</v>
      </c>
      <c r="J11" s="15">
        <f t="shared" si="3"/>
        <v>35200</v>
      </c>
      <c r="K11" s="15">
        <f t="shared" si="4"/>
        <v>35100</v>
      </c>
      <c r="L11" s="6"/>
      <c r="M11" s="6"/>
      <c r="N11" s="6"/>
      <c r="O11" s="6"/>
      <c r="P11" s="6"/>
      <c r="Q11" s="6"/>
      <c r="R11" s="6"/>
      <c r="S11" s="6"/>
      <c r="T11" s="6"/>
      <c r="U11" s="6"/>
      <c r="V11" s="6"/>
      <c r="W11" s="6"/>
      <c r="X11" s="6"/>
      <c r="Y11" s="6"/>
      <c r="Z11" s="6"/>
    </row>
    <row r="12" spans="1:26" ht="14.4">
      <c r="A12" s="7">
        <v>2011</v>
      </c>
      <c r="B12" s="7" t="s">
        <v>72</v>
      </c>
      <c r="C12" s="7" t="s">
        <v>80</v>
      </c>
      <c r="D12" s="7" t="s">
        <v>89</v>
      </c>
      <c r="E12" s="7">
        <v>33920</v>
      </c>
      <c r="F12" s="17">
        <v>45077</v>
      </c>
      <c r="G12" s="15">
        <f t="shared" si="0"/>
        <v>3392</v>
      </c>
      <c r="H12" s="15" t="str">
        <f t="shared" si="1"/>
        <v>Eligible</v>
      </c>
      <c r="I12" s="15">
        <f t="shared" si="2"/>
        <v>33920</v>
      </c>
      <c r="J12" s="15">
        <f t="shared" si="3"/>
        <v>34000</v>
      </c>
      <c r="K12" s="15">
        <f t="shared" si="4"/>
        <v>33900</v>
      </c>
      <c r="L12" s="6"/>
      <c r="M12" s="6"/>
      <c r="N12" s="6"/>
      <c r="O12" s="6"/>
      <c r="P12" s="6"/>
      <c r="Q12" s="6"/>
      <c r="R12" s="6"/>
      <c r="S12" s="6"/>
      <c r="T12" s="6"/>
      <c r="U12" s="6"/>
      <c r="V12" s="6"/>
      <c r="W12" s="6"/>
      <c r="X12" s="6"/>
      <c r="Y12" s="6"/>
      <c r="Z12" s="6"/>
    </row>
    <row r="13" spans="1:26" ht="14.4">
      <c r="A13" s="7">
        <v>2012</v>
      </c>
      <c r="B13" s="7" t="s">
        <v>90</v>
      </c>
      <c r="C13" s="7" t="s">
        <v>82</v>
      </c>
      <c r="D13" s="7" t="s">
        <v>91</v>
      </c>
      <c r="E13" s="7">
        <v>35611</v>
      </c>
      <c r="F13" s="17">
        <v>45092</v>
      </c>
      <c r="G13" s="15">
        <f t="shared" si="0"/>
        <v>3561.1000000000004</v>
      </c>
      <c r="H13" s="15" t="str">
        <f t="shared" si="1"/>
        <v>Eligible</v>
      </c>
      <c r="I13" s="15">
        <f t="shared" si="2"/>
        <v>35611</v>
      </c>
      <c r="J13" s="15">
        <f t="shared" si="3"/>
        <v>35700</v>
      </c>
      <c r="K13" s="15">
        <f t="shared" si="4"/>
        <v>35600</v>
      </c>
      <c r="L13" s="6"/>
      <c r="M13" s="6"/>
      <c r="N13" s="6"/>
      <c r="O13" s="6"/>
      <c r="P13" s="6"/>
      <c r="Q13" s="6"/>
      <c r="R13" s="6"/>
      <c r="S13" s="6"/>
      <c r="T13" s="6"/>
      <c r="U13" s="6"/>
      <c r="V13" s="6"/>
      <c r="W13" s="6"/>
      <c r="X13" s="6"/>
      <c r="Y13" s="6"/>
      <c r="Z13" s="6"/>
    </row>
    <row r="14" spans="1:26" ht="14.4">
      <c r="A14" s="7">
        <v>2013</v>
      </c>
      <c r="B14" s="7" t="s">
        <v>92</v>
      </c>
      <c r="C14" s="7" t="s">
        <v>80</v>
      </c>
      <c r="D14" s="7" t="s">
        <v>93</v>
      </c>
      <c r="E14" s="7">
        <v>15560</v>
      </c>
      <c r="F14" s="17">
        <v>45107</v>
      </c>
      <c r="G14" s="15">
        <f t="shared" si="0"/>
        <v>0</v>
      </c>
      <c r="H14" s="15" t="str">
        <f t="shared" si="1"/>
        <v>Not Eligible</v>
      </c>
      <c r="I14" s="15">
        <f t="shared" si="2"/>
        <v>15560</v>
      </c>
      <c r="J14" s="15">
        <f t="shared" si="3"/>
        <v>15600</v>
      </c>
      <c r="K14" s="15">
        <f t="shared" si="4"/>
        <v>15500</v>
      </c>
      <c r="L14" s="6"/>
      <c r="M14" s="6"/>
      <c r="N14" s="6"/>
      <c r="O14" s="6"/>
      <c r="P14" s="6"/>
      <c r="Q14" s="6"/>
      <c r="R14" s="6"/>
      <c r="S14" s="6"/>
      <c r="T14" s="6"/>
      <c r="U14" s="6"/>
      <c r="V14" s="6"/>
      <c r="W14" s="6"/>
      <c r="X14" s="6"/>
      <c r="Y14" s="6"/>
      <c r="Z14" s="6"/>
    </row>
    <row r="15" spans="1:26" ht="14.4">
      <c r="A15" s="7">
        <v>2014</v>
      </c>
      <c r="B15" s="7" t="s">
        <v>92</v>
      </c>
      <c r="C15" s="7" t="s">
        <v>73</v>
      </c>
      <c r="D15" s="7" t="s">
        <v>94</v>
      </c>
      <c r="E15" s="7">
        <v>7283</v>
      </c>
      <c r="F15" s="17">
        <v>45122</v>
      </c>
      <c r="G15" s="15">
        <f t="shared" si="0"/>
        <v>0</v>
      </c>
      <c r="H15" s="15" t="str">
        <f t="shared" si="1"/>
        <v>Not Eligible</v>
      </c>
      <c r="I15" s="15">
        <f t="shared" si="2"/>
        <v>7283</v>
      </c>
      <c r="J15" s="15">
        <f t="shared" si="3"/>
        <v>7300</v>
      </c>
      <c r="K15" s="15">
        <f t="shared" si="4"/>
        <v>7200</v>
      </c>
      <c r="L15" s="6"/>
      <c r="M15" s="6"/>
      <c r="N15" s="6"/>
      <c r="O15" s="6"/>
      <c r="P15" s="6"/>
      <c r="Q15" s="6"/>
      <c r="R15" s="6"/>
      <c r="S15" s="6"/>
      <c r="T15" s="6"/>
      <c r="U15" s="6"/>
      <c r="V15" s="6"/>
      <c r="W15" s="6"/>
      <c r="X15" s="6"/>
      <c r="Y15" s="6"/>
      <c r="Z15" s="6"/>
    </row>
    <row r="16" spans="1:26" ht="14.4">
      <c r="A16" s="7">
        <v>2015</v>
      </c>
      <c r="B16" s="7" t="s">
        <v>92</v>
      </c>
      <c r="C16" s="7" t="s">
        <v>80</v>
      </c>
      <c r="D16" s="7" t="s">
        <v>95</v>
      </c>
      <c r="E16" s="7">
        <v>15678</v>
      </c>
      <c r="F16" s="17">
        <v>45137</v>
      </c>
      <c r="G16" s="15">
        <f t="shared" si="0"/>
        <v>0</v>
      </c>
      <c r="H16" s="15" t="str">
        <f t="shared" si="1"/>
        <v>Not Eligible</v>
      </c>
      <c r="I16" s="15">
        <f t="shared" si="2"/>
        <v>15678</v>
      </c>
      <c r="J16" s="15">
        <f t="shared" si="3"/>
        <v>15700</v>
      </c>
      <c r="K16" s="15">
        <f t="shared" si="4"/>
        <v>15600</v>
      </c>
      <c r="L16" s="6"/>
      <c r="M16" s="6"/>
      <c r="N16" s="6"/>
      <c r="O16" s="6"/>
      <c r="P16" s="6"/>
      <c r="Q16" s="6"/>
      <c r="R16" s="6"/>
      <c r="S16" s="6"/>
      <c r="T16" s="6"/>
      <c r="U16" s="6"/>
      <c r="V16" s="6"/>
      <c r="W16" s="6"/>
      <c r="X16" s="6"/>
      <c r="Y16" s="6"/>
      <c r="Z16" s="6"/>
    </row>
    <row r="17" spans="1:26" ht="14.4">
      <c r="A17" s="7">
        <v>2016</v>
      </c>
      <c r="B17" s="7" t="s">
        <v>78</v>
      </c>
      <c r="C17" s="7" t="s">
        <v>80</v>
      </c>
      <c r="D17" s="7" t="s">
        <v>96</v>
      </c>
      <c r="E17" s="7">
        <v>5277</v>
      </c>
      <c r="F17" s="17">
        <v>45152</v>
      </c>
      <c r="G17" s="15">
        <f t="shared" si="0"/>
        <v>0</v>
      </c>
      <c r="H17" s="15" t="str">
        <f t="shared" si="1"/>
        <v>Not Eligible</v>
      </c>
      <c r="I17" s="15">
        <f t="shared" si="2"/>
        <v>5277</v>
      </c>
      <c r="J17" s="15">
        <f t="shared" si="3"/>
        <v>5300</v>
      </c>
      <c r="K17" s="15">
        <f t="shared" si="4"/>
        <v>5200</v>
      </c>
      <c r="L17" s="6"/>
      <c r="M17" s="6"/>
      <c r="N17" s="6"/>
      <c r="O17" s="6"/>
      <c r="P17" s="6"/>
      <c r="Q17" s="6"/>
      <c r="R17" s="6"/>
      <c r="S17" s="6"/>
      <c r="T17" s="6"/>
      <c r="U17" s="6"/>
      <c r="V17" s="6"/>
      <c r="W17" s="6"/>
      <c r="X17" s="6"/>
      <c r="Y17" s="6"/>
      <c r="Z17" s="6"/>
    </row>
    <row r="18" spans="1:26" ht="14.4">
      <c r="A18" s="7">
        <v>2017</v>
      </c>
      <c r="B18" s="7" t="s">
        <v>90</v>
      </c>
      <c r="C18" s="7" t="s">
        <v>82</v>
      </c>
      <c r="D18" s="7" t="s">
        <v>97</v>
      </c>
      <c r="E18" s="7">
        <v>41871</v>
      </c>
      <c r="F18" s="17">
        <v>45167</v>
      </c>
      <c r="G18" s="15">
        <f t="shared" si="0"/>
        <v>4187.1000000000004</v>
      </c>
      <c r="H18" s="15" t="str">
        <f t="shared" si="1"/>
        <v>Eligible</v>
      </c>
      <c r="I18" s="15">
        <f t="shared" si="2"/>
        <v>41871</v>
      </c>
      <c r="J18" s="15">
        <f t="shared" si="3"/>
        <v>41900</v>
      </c>
      <c r="K18" s="15">
        <f t="shared" si="4"/>
        <v>41800</v>
      </c>
      <c r="L18" s="6"/>
      <c r="M18" s="6"/>
      <c r="N18" s="6"/>
      <c r="O18" s="6"/>
      <c r="P18" s="6"/>
      <c r="Q18" s="6"/>
      <c r="R18" s="6"/>
      <c r="S18" s="6"/>
      <c r="T18" s="6"/>
      <c r="U18" s="6"/>
      <c r="V18" s="6"/>
      <c r="W18" s="6"/>
      <c r="X18" s="6"/>
      <c r="Y18" s="6"/>
      <c r="Z18" s="6"/>
    </row>
    <row r="19" spans="1:26" ht="14.4">
      <c r="A19" s="7">
        <v>2018</v>
      </c>
      <c r="B19" s="7" t="s">
        <v>90</v>
      </c>
      <c r="C19" s="7" t="s">
        <v>76</v>
      </c>
      <c r="D19" s="7" t="s">
        <v>98</v>
      </c>
      <c r="E19" s="7">
        <v>38161</v>
      </c>
      <c r="F19" s="17">
        <v>45182</v>
      </c>
      <c r="G19" s="15">
        <f t="shared" si="0"/>
        <v>3816.1000000000004</v>
      </c>
      <c r="H19" s="15" t="str">
        <f t="shared" si="1"/>
        <v>Eligible</v>
      </c>
      <c r="I19" s="15">
        <f t="shared" si="2"/>
        <v>38161</v>
      </c>
      <c r="J19" s="15">
        <f t="shared" si="3"/>
        <v>38200</v>
      </c>
      <c r="K19" s="15">
        <f t="shared" si="4"/>
        <v>38100</v>
      </c>
      <c r="L19" s="6"/>
      <c r="M19" s="6"/>
      <c r="N19" s="6"/>
      <c r="O19" s="6"/>
      <c r="P19" s="6"/>
      <c r="Q19" s="6"/>
      <c r="R19" s="6"/>
      <c r="S19" s="6"/>
      <c r="T19" s="6"/>
      <c r="U19" s="6"/>
      <c r="V19" s="6"/>
      <c r="W19" s="6"/>
      <c r="X19" s="6"/>
      <c r="Y19" s="6"/>
      <c r="Z19" s="6"/>
    </row>
    <row r="20" spans="1:26" ht="14.4">
      <c r="A20" s="7">
        <v>2019</v>
      </c>
      <c r="B20" s="7" t="s">
        <v>78</v>
      </c>
      <c r="C20" s="7" t="s">
        <v>76</v>
      </c>
      <c r="D20" s="7" t="s">
        <v>99</v>
      </c>
      <c r="E20" s="7">
        <v>30436</v>
      </c>
      <c r="F20" s="17">
        <v>45197</v>
      </c>
      <c r="G20" s="15">
        <f t="shared" si="0"/>
        <v>3043.6000000000004</v>
      </c>
      <c r="H20" s="15" t="str">
        <f t="shared" si="1"/>
        <v>Eligible</v>
      </c>
      <c r="I20" s="15">
        <f t="shared" si="2"/>
        <v>30436</v>
      </c>
      <c r="J20" s="15">
        <f t="shared" si="3"/>
        <v>30500</v>
      </c>
      <c r="K20" s="15">
        <f t="shared" si="4"/>
        <v>30400</v>
      </c>
      <c r="L20" s="6"/>
      <c r="M20" s="6"/>
      <c r="N20" s="6"/>
      <c r="O20" s="6"/>
      <c r="P20" s="6"/>
      <c r="Q20" s="6"/>
      <c r="R20" s="6"/>
      <c r="S20" s="6"/>
      <c r="T20" s="6"/>
      <c r="U20" s="6"/>
      <c r="V20" s="6"/>
      <c r="W20" s="6"/>
      <c r="X20" s="6"/>
      <c r="Y20" s="6"/>
      <c r="Z20" s="6"/>
    </row>
    <row r="21" spans="1:26" ht="15.75" customHeight="1">
      <c r="A21" s="7">
        <v>2020</v>
      </c>
      <c r="B21" s="7" t="s">
        <v>75</v>
      </c>
      <c r="C21" s="7" t="s">
        <v>76</v>
      </c>
      <c r="D21" s="7" t="s">
        <v>100</v>
      </c>
      <c r="E21" s="7">
        <v>33953</v>
      </c>
      <c r="F21" s="17">
        <v>45212</v>
      </c>
      <c r="G21" s="15">
        <f t="shared" si="0"/>
        <v>3395.3</v>
      </c>
      <c r="H21" s="15" t="str">
        <f t="shared" si="1"/>
        <v>Eligible</v>
      </c>
      <c r="I21" s="15">
        <f t="shared" si="2"/>
        <v>33953</v>
      </c>
      <c r="J21" s="15">
        <f t="shared" si="3"/>
        <v>34000</v>
      </c>
      <c r="K21" s="15">
        <f t="shared" si="4"/>
        <v>33900</v>
      </c>
      <c r="L21" s="6"/>
      <c r="M21" s="6"/>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18" t="s">
        <v>139</v>
      </c>
      <c r="B24" s="18"/>
      <c r="C24" s="18"/>
      <c r="D24" s="18"/>
      <c r="E24" s="18"/>
      <c r="F24" s="6"/>
      <c r="G24" s="18" t="s">
        <v>142</v>
      </c>
      <c r="H24" s="18"/>
      <c r="I24" s="18"/>
      <c r="J24" s="18"/>
      <c r="K24" s="6"/>
      <c r="L24" s="6"/>
      <c r="M24" s="6"/>
      <c r="N24" s="6"/>
      <c r="O24" s="6"/>
      <c r="P24" s="6"/>
      <c r="Q24" s="6"/>
      <c r="R24" s="6"/>
      <c r="S24" s="6"/>
      <c r="T24" s="6"/>
      <c r="U24" s="6"/>
      <c r="V24" s="6"/>
      <c r="W24" s="6"/>
      <c r="X24" s="6"/>
      <c r="Y24" s="6"/>
      <c r="Z24" s="6"/>
    </row>
    <row r="25" spans="1:26" ht="15.75" customHeight="1">
      <c r="A25" s="22">
        <f>SUMIFS(E2:E21, C2:C21, "South", B2:B21, "Keyboard")</f>
        <v>42233</v>
      </c>
      <c r="B25" s="22"/>
      <c r="C25" s="22"/>
      <c r="D25" s="22"/>
      <c r="E25" s="22"/>
      <c r="F25" s="6"/>
      <c r="G25" s="22" t="s">
        <v>72</v>
      </c>
      <c r="H25" s="22"/>
      <c r="I25" s="22"/>
      <c r="J25" s="22"/>
      <c r="K25" s="6"/>
      <c r="L25" s="6"/>
      <c r="M25" s="6"/>
      <c r="N25" s="6"/>
      <c r="O25" s="6"/>
      <c r="P25" s="6"/>
      <c r="Q25" s="6"/>
      <c r="R25" s="6"/>
      <c r="S25" s="6"/>
      <c r="T25" s="6"/>
      <c r="U25" s="6"/>
      <c r="V25" s="6"/>
      <c r="W25" s="6"/>
      <c r="X25" s="6"/>
      <c r="Y25" s="6"/>
      <c r="Z25" s="6"/>
    </row>
    <row r="26" spans="1:26" ht="15.75" customHeight="1">
      <c r="A26" s="6"/>
      <c r="B26" s="6"/>
      <c r="C26" s="6"/>
      <c r="D26" s="6"/>
      <c r="E26" s="6"/>
      <c r="F26" s="6"/>
      <c r="G26" s="22">
        <f>VLOOKUP(G25,B2:E21,4,FALSE)</f>
        <v>7048</v>
      </c>
      <c r="H26" s="22"/>
      <c r="I26" s="22"/>
      <c r="J26" s="22"/>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18" t="s">
        <v>143</v>
      </c>
      <c r="C28" s="18"/>
      <c r="D28" s="18"/>
      <c r="E28" s="18"/>
      <c r="F28" s="18"/>
      <c r="G28" s="6"/>
      <c r="H28" s="18" t="s">
        <v>151</v>
      </c>
      <c r="I28" s="18"/>
      <c r="J28" s="6"/>
      <c r="K28" s="6"/>
      <c r="L28" s="6"/>
      <c r="M28" s="6"/>
      <c r="N28" s="6"/>
      <c r="O28" s="6"/>
      <c r="P28" s="6"/>
      <c r="Q28" s="6"/>
      <c r="R28" s="6"/>
      <c r="S28" s="6"/>
      <c r="T28" s="6"/>
      <c r="U28" s="6"/>
      <c r="V28" s="6"/>
      <c r="W28" s="6"/>
      <c r="X28" s="6"/>
      <c r="Y28" s="6"/>
      <c r="Z28" s="6"/>
    </row>
    <row r="29" spans="1:26" ht="15.75" customHeight="1">
      <c r="A29" s="6"/>
      <c r="B29" s="29">
        <f>INDEX(E2:E21,MATCH(D8,D2:D21,0))</f>
        <v>32058</v>
      </c>
      <c r="C29" s="29"/>
      <c r="D29" s="29"/>
      <c r="E29" s="29"/>
      <c r="F29" s="29"/>
      <c r="G29" s="6"/>
      <c r="H29" s="22">
        <f>_xlfn.XLOOKUP(D8,D2:D21,E2:E21,"Not Found")</f>
        <v>32058</v>
      </c>
      <c r="I29" s="22"/>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18" t="s">
        <v>153</v>
      </c>
      <c r="C32" s="18"/>
      <c r="D32" s="18"/>
      <c r="E32" s="6"/>
      <c r="F32" s="13" t="s">
        <v>31</v>
      </c>
      <c r="G32" s="6"/>
      <c r="H32" s="6"/>
      <c r="I32" s="6"/>
      <c r="J32" s="6"/>
      <c r="K32" s="6"/>
      <c r="L32" s="6"/>
      <c r="M32" s="6"/>
      <c r="N32" s="6"/>
      <c r="O32" s="6"/>
      <c r="P32" s="6"/>
      <c r="Q32" s="6"/>
      <c r="R32" s="6"/>
      <c r="S32" s="6"/>
      <c r="T32" s="6"/>
      <c r="U32" s="6"/>
      <c r="V32" s="6"/>
      <c r="W32" s="6"/>
      <c r="X32" s="6"/>
      <c r="Y32" s="6"/>
      <c r="Z32" s="6"/>
    </row>
    <row r="33" spans="1:26" ht="15.75" customHeight="1">
      <c r="A33" s="6"/>
      <c r="B33" s="22">
        <f>_xlfn.XMATCH(B15,B2:B21)</f>
        <v>13</v>
      </c>
      <c r="C33" s="22"/>
      <c r="D33" s="22"/>
      <c r="E33" s="6"/>
      <c r="F33" s="15">
        <v>2</v>
      </c>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15" t="str">
        <f ca="1">OFFSET(D2,F33,0)</f>
        <v>Person 3</v>
      </c>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2">
    <mergeCell ref="B32:D32"/>
    <mergeCell ref="B33:D33"/>
    <mergeCell ref="G26:J26"/>
    <mergeCell ref="B28:F28"/>
    <mergeCell ref="B29:F29"/>
    <mergeCell ref="H28:I28"/>
    <mergeCell ref="H29:I29"/>
    <mergeCell ref="A24:E24"/>
    <mergeCell ref="A25:E25"/>
    <mergeCell ref="Q3:S3"/>
    <mergeCell ref="G24:J24"/>
    <mergeCell ref="G25:J25"/>
  </mergeCells>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tabSelected="1" workbookViewId="0">
      <selection activeCell="I7" sqref="I7"/>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25" width="8.6640625" customWidth="1"/>
  </cols>
  <sheetData>
    <row r="1" spans="1:25" ht="14.4">
      <c r="A1" s="9" t="s">
        <v>101</v>
      </c>
      <c r="B1" s="9" t="s">
        <v>41</v>
      </c>
      <c r="C1" s="9" t="s">
        <v>102</v>
      </c>
      <c r="D1" s="9" t="s">
        <v>103</v>
      </c>
      <c r="E1" s="11" t="s">
        <v>104</v>
      </c>
      <c r="F1" s="13" t="s">
        <v>155</v>
      </c>
      <c r="G1" s="6"/>
      <c r="H1" s="6"/>
      <c r="I1" s="6"/>
      <c r="J1" s="6"/>
      <c r="K1" s="6"/>
      <c r="L1" s="6"/>
      <c r="M1" s="6"/>
      <c r="N1" s="6"/>
      <c r="O1" s="6"/>
      <c r="P1" s="6"/>
      <c r="Q1" s="6"/>
      <c r="R1" s="6"/>
      <c r="S1" s="6"/>
      <c r="T1" s="6"/>
      <c r="U1" s="6"/>
      <c r="V1" s="6"/>
      <c r="W1" s="6"/>
      <c r="X1" s="6"/>
      <c r="Y1" s="6"/>
    </row>
    <row r="2" spans="1:25" ht="14.4">
      <c r="A2" s="7">
        <v>3001</v>
      </c>
      <c r="B2" s="7" t="s">
        <v>105</v>
      </c>
      <c r="C2" s="7" t="s">
        <v>106</v>
      </c>
      <c r="D2" s="7">
        <v>86766</v>
      </c>
      <c r="E2" s="17">
        <v>42005</v>
      </c>
      <c r="F2" s="15">
        <f ca="1">DATEDIF(E2,TODAY(),"Y")</f>
        <v>11</v>
      </c>
      <c r="G2" s="6"/>
      <c r="H2" s="6"/>
      <c r="I2" s="6"/>
      <c r="J2" s="6"/>
      <c r="K2" s="6"/>
      <c r="L2" s="6"/>
      <c r="M2" s="6"/>
      <c r="N2" s="6"/>
      <c r="O2" s="6"/>
      <c r="P2" s="6"/>
      <c r="Q2" s="6"/>
      <c r="R2" s="6"/>
      <c r="S2" s="6"/>
      <c r="T2" s="6"/>
      <c r="U2" s="6"/>
      <c r="V2" s="6"/>
      <c r="W2" s="6"/>
      <c r="X2" s="6"/>
      <c r="Y2" s="6"/>
    </row>
    <row r="3" spans="1:25" ht="14.4">
      <c r="A3" s="7">
        <v>3002</v>
      </c>
      <c r="B3" s="7" t="s">
        <v>107</v>
      </c>
      <c r="C3" s="7" t="s">
        <v>106</v>
      </c>
      <c r="D3" s="7">
        <v>31943</v>
      </c>
      <c r="E3" s="17">
        <v>42255</v>
      </c>
      <c r="F3" s="15">
        <f t="shared" ref="F3:F21" ca="1" si="0">DATEDIF(E3,TODAY(),"Y")</f>
        <v>10</v>
      </c>
      <c r="G3" s="6"/>
      <c r="H3" s="6"/>
      <c r="I3" s="6"/>
      <c r="J3" s="6"/>
      <c r="K3" s="6"/>
      <c r="L3" s="6"/>
      <c r="M3" s="6"/>
      <c r="N3" s="6"/>
      <c r="O3" s="6"/>
      <c r="P3" s="6"/>
      <c r="Q3" s="6"/>
      <c r="R3" s="6"/>
      <c r="S3" s="6"/>
      <c r="T3" s="6"/>
      <c r="U3" s="6"/>
      <c r="V3" s="6"/>
      <c r="W3" s="6"/>
      <c r="X3" s="6"/>
      <c r="Y3" s="6"/>
    </row>
    <row r="4" spans="1:25" ht="14.4">
      <c r="A4" s="7">
        <v>3003</v>
      </c>
      <c r="B4" s="7" t="s">
        <v>108</v>
      </c>
      <c r="C4" s="7" t="s">
        <v>109</v>
      </c>
      <c r="D4" s="7">
        <v>63374</v>
      </c>
      <c r="E4" s="17">
        <v>42505</v>
      </c>
      <c r="F4" s="15">
        <f t="shared" ca="1" si="0"/>
        <v>9</v>
      </c>
      <c r="G4" s="6"/>
      <c r="H4" s="6"/>
      <c r="I4" s="6"/>
      <c r="J4" s="6"/>
      <c r="K4" s="6"/>
      <c r="L4" s="6"/>
      <c r="M4" s="6"/>
      <c r="N4" s="6"/>
      <c r="O4" s="6"/>
      <c r="P4" s="6"/>
      <c r="Q4" s="6"/>
      <c r="R4" s="6"/>
      <c r="S4" s="6"/>
      <c r="T4" s="6"/>
      <c r="U4" s="6"/>
      <c r="V4" s="6"/>
      <c r="W4" s="6"/>
      <c r="X4" s="6"/>
      <c r="Y4" s="6"/>
    </row>
    <row r="5" spans="1:25" ht="14.4">
      <c r="A5" s="7">
        <v>3004</v>
      </c>
      <c r="B5" s="7" t="s">
        <v>110</v>
      </c>
      <c r="C5" s="7" t="s">
        <v>106</v>
      </c>
      <c r="D5" s="7">
        <v>109972</v>
      </c>
      <c r="E5" s="17">
        <v>42755</v>
      </c>
      <c r="F5" s="15">
        <f t="shared" ca="1" si="0"/>
        <v>9</v>
      </c>
      <c r="G5" s="6"/>
      <c r="H5" s="6"/>
      <c r="I5" s="6"/>
      <c r="J5" s="6"/>
      <c r="K5" s="6"/>
      <c r="L5" s="6"/>
      <c r="M5" s="6"/>
      <c r="N5" s="6"/>
      <c r="O5" s="6"/>
      <c r="P5" s="6"/>
      <c r="Q5" s="6"/>
      <c r="R5" s="6"/>
      <c r="S5" s="6"/>
      <c r="T5" s="6"/>
      <c r="U5" s="6"/>
      <c r="V5" s="6"/>
      <c r="W5" s="6"/>
      <c r="X5" s="6"/>
      <c r="Y5" s="6"/>
    </row>
    <row r="6" spans="1:25" ht="14.4">
      <c r="A6" s="7">
        <v>3005</v>
      </c>
      <c r="B6" s="7" t="s">
        <v>111</v>
      </c>
      <c r="C6" s="7" t="s">
        <v>112</v>
      </c>
      <c r="D6" s="7">
        <v>54149</v>
      </c>
      <c r="E6" s="17">
        <v>43005</v>
      </c>
      <c r="F6" s="15">
        <f t="shared" ca="1" si="0"/>
        <v>8</v>
      </c>
      <c r="G6" s="6"/>
      <c r="H6" s="6"/>
      <c r="I6" s="6"/>
      <c r="J6" s="6"/>
      <c r="K6" s="6"/>
      <c r="L6" s="6"/>
      <c r="M6" s="6"/>
      <c r="N6" s="6"/>
      <c r="O6" s="6"/>
      <c r="P6" s="6"/>
      <c r="Q6" s="6"/>
      <c r="R6" s="6"/>
      <c r="S6" s="6"/>
      <c r="T6" s="6"/>
      <c r="U6" s="6"/>
      <c r="V6" s="6"/>
      <c r="W6" s="6"/>
      <c r="X6" s="6"/>
      <c r="Y6" s="6"/>
    </row>
    <row r="7" spans="1:25" ht="14.4">
      <c r="A7" s="7">
        <v>3006</v>
      </c>
      <c r="B7" s="7" t="s">
        <v>113</v>
      </c>
      <c r="C7" s="7" t="s">
        <v>112</v>
      </c>
      <c r="D7" s="7">
        <v>78689</v>
      </c>
      <c r="E7" s="17">
        <v>43255</v>
      </c>
      <c r="F7" s="15">
        <f t="shared" ca="1" si="0"/>
        <v>7</v>
      </c>
      <c r="G7" s="6"/>
      <c r="H7" s="6"/>
      <c r="I7" s="6"/>
      <c r="J7" s="6"/>
      <c r="K7" s="6"/>
      <c r="L7" s="6"/>
      <c r="M7" s="6"/>
      <c r="N7" s="6"/>
      <c r="O7" s="6"/>
      <c r="P7" s="6"/>
      <c r="Q7" s="6"/>
      <c r="R7" s="6"/>
      <c r="S7" s="6"/>
      <c r="T7" s="6"/>
      <c r="U7" s="6"/>
      <c r="V7" s="6"/>
      <c r="W7" s="6"/>
      <c r="X7" s="6"/>
      <c r="Y7" s="6"/>
    </row>
    <row r="8" spans="1:25" ht="14.4">
      <c r="A8" s="7">
        <v>3007</v>
      </c>
      <c r="B8" s="7" t="s">
        <v>114</v>
      </c>
      <c r="C8" s="7" t="s">
        <v>115</v>
      </c>
      <c r="D8" s="7">
        <v>35960</v>
      </c>
      <c r="E8" s="17">
        <v>43505</v>
      </c>
      <c r="F8" s="15">
        <f t="shared" ca="1" si="0"/>
        <v>7</v>
      </c>
      <c r="G8" s="6"/>
      <c r="H8" s="6"/>
      <c r="I8" s="6"/>
      <c r="J8" s="6"/>
      <c r="K8" s="6"/>
      <c r="L8" s="6"/>
      <c r="M8" s="6"/>
      <c r="N8" s="6"/>
      <c r="O8" s="6"/>
      <c r="P8" s="6"/>
      <c r="Q8" s="6"/>
      <c r="R8" s="6"/>
      <c r="S8" s="6"/>
      <c r="T8" s="6"/>
      <c r="U8" s="6"/>
      <c r="V8" s="6"/>
      <c r="W8" s="6"/>
      <c r="X8" s="6"/>
      <c r="Y8" s="6"/>
    </row>
    <row r="9" spans="1:25" ht="14.4">
      <c r="A9" s="7">
        <v>3008</v>
      </c>
      <c r="B9" s="7" t="s">
        <v>116</v>
      </c>
      <c r="C9" s="7" t="s">
        <v>112</v>
      </c>
      <c r="D9" s="7">
        <v>91659</v>
      </c>
      <c r="E9" s="17">
        <v>43755</v>
      </c>
      <c r="F9" s="15">
        <f t="shared" ca="1" si="0"/>
        <v>6</v>
      </c>
      <c r="G9" s="6"/>
      <c r="H9" s="6"/>
      <c r="I9" s="6"/>
      <c r="J9" s="6"/>
      <c r="K9" s="6"/>
      <c r="L9" s="6"/>
      <c r="M9" s="6"/>
      <c r="N9" s="6"/>
      <c r="O9" s="6"/>
      <c r="P9" s="6"/>
      <c r="Q9" s="6"/>
      <c r="R9" s="6"/>
      <c r="S9" s="6"/>
      <c r="T9" s="6"/>
      <c r="U9" s="6"/>
      <c r="V9" s="6"/>
      <c r="W9" s="6"/>
      <c r="X9" s="6"/>
      <c r="Y9" s="6"/>
    </row>
    <row r="10" spans="1:25" ht="14.4">
      <c r="A10" s="7">
        <v>3009</v>
      </c>
      <c r="B10" s="7" t="s">
        <v>117</v>
      </c>
      <c r="C10" s="7" t="s">
        <v>112</v>
      </c>
      <c r="D10" s="7">
        <v>90423</v>
      </c>
      <c r="E10" s="17">
        <v>44005</v>
      </c>
      <c r="F10" s="15">
        <f t="shared" ca="1" si="0"/>
        <v>5</v>
      </c>
      <c r="G10" s="6"/>
      <c r="H10" s="6"/>
      <c r="I10" s="6"/>
      <c r="J10" s="6"/>
      <c r="K10" s="6"/>
      <c r="L10" s="6"/>
      <c r="M10" s="6"/>
      <c r="N10" s="6"/>
      <c r="O10" s="6"/>
      <c r="P10" s="6"/>
      <c r="Q10" s="6"/>
      <c r="R10" s="6"/>
      <c r="S10" s="6"/>
      <c r="T10" s="6"/>
      <c r="U10" s="6"/>
      <c r="V10" s="6"/>
      <c r="W10" s="6"/>
      <c r="X10" s="6"/>
      <c r="Y10" s="6"/>
    </row>
    <row r="11" spans="1:25" ht="14.4">
      <c r="A11" s="7">
        <v>3010</v>
      </c>
      <c r="B11" s="7" t="s">
        <v>118</v>
      </c>
      <c r="C11" s="7" t="s">
        <v>109</v>
      </c>
      <c r="D11" s="7">
        <v>107877</v>
      </c>
      <c r="E11" s="17">
        <v>44255</v>
      </c>
      <c r="F11" s="15">
        <f t="shared" ca="1" si="0"/>
        <v>5</v>
      </c>
      <c r="G11" s="6"/>
      <c r="H11" s="6"/>
      <c r="I11" s="6"/>
      <c r="J11" s="6"/>
      <c r="K11" s="6"/>
      <c r="L11" s="6"/>
      <c r="M11" s="6"/>
      <c r="N11" s="6"/>
      <c r="O11" s="6"/>
      <c r="P11" s="6"/>
      <c r="Q11" s="6"/>
      <c r="R11" s="6"/>
      <c r="S11" s="6"/>
      <c r="T11" s="6"/>
      <c r="U11" s="6"/>
      <c r="V11" s="6"/>
      <c r="W11" s="6"/>
      <c r="X11" s="6"/>
      <c r="Y11" s="6"/>
    </row>
    <row r="12" spans="1:25" ht="14.4">
      <c r="A12" s="7">
        <v>3011</v>
      </c>
      <c r="B12" s="7" t="s">
        <v>119</v>
      </c>
      <c r="C12" s="7" t="s">
        <v>106</v>
      </c>
      <c r="D12" s="7">
        <v>107634</v>
      </c>
      <c r="E12" s="17">
        <v>44505</v>
      </c>
      <c r="F12" s="15">
        <f t="shared" ca="1" si="0"/>
        <v>4</v>
      </c>
      <c r="G12" s="6"/>
      <c r="H12" s="6"/>
      <c r="I12" s="6"/>
      <c r="J12" s="6"/>
      <c r="K12" s="6"/>
      <c r="L12" s="6"/>
      <c r="M12" s="6"/>
      <c r="N12" s="6"/>
      <c r="O12" s="6"/>
      <c r="P12" s="6"/>
      <c r="Q12" s="6"/>
      <c r="R12" s="6"/>
      <c r="S12" s="6"/>
      <c r="T12" s="6"/>
      <c r="U12" s="6"/>
      <c r="V12" s="6"/>
      <c r="W12" s="6"/>
      <c r="X12" s="6"/>
      <c r="Y12" s="6"/>
    </row>
    <row r="13" spans="1:25" ht="14.4">
      <c r="A13" s="7">
        <v>3012</v>
      </c>
      <c r="B13" s="7" t="s">
        <v>120</v>
      </c>
      <c r="C13" s="7" t="s">
        <v>106</v>
      </c>
      <c r="D13" s="7">
        <v>35226</v>
      </c>
      <c r="E13" s="17">
        <v>44755</v>
      </c>
      <c r="F13" s="15">
        <f t="shared" ca="1" si="0"/>
        <v>3</v>
      </c>
      <c r="G13" s="6"/>
      <c r="H13" s="6"/>
      <c r="I13" s="6"/>
      <c r="J13" s="6"/>
      <c r="K13" s="6"/>
      <c r="L13" s="6"/>
      <c r="M13" s="6"/>
      <c r="N13" s="6"/>
      <c r="O13" s="6"/>
      <c r="P13" s="6"/>
      <c r="Q13" s="6"/>
      <c r="R13" s="6"/>
      <c r="S13" s="6"/>
      <c r="T13" s="6"/>
      <c r="U13" s="6"/>
      <c r="V13" s="6"/>
      <c r="W13" s="6"/>
      <c r="X13" s="6"/>
      <c r="Y13" s="6"/>
    </row>
    <row r="14" spans="1:25" ht="14.4">
      <c r="A14" s="7">
        <v>3013</v>
      </c>
      <c r="B14" s="7" t="s">
        <v>121</v>
      </c>
      <c r="C14" s="7" t="s">
        <v>109</v>
      </c>
      <c r="D14" s="7">
        <v>40872</v>
      </c>
      <c r="E14" s="17">
        <v>45005</v>
      </c>
      <c r="F14" s="15">
        <f t="shared" ca="1" si="0"/>
        <v>3</v>
      </c>
      <c r="G14" s="6"/>
      <c r="H14" s="6"/>
      <c r="I14" s="6"/>
      <c r="J14" s="6"/>
      <c r="K14" s="6"/>
      <c r="L14" s="6"/>
      <c r="M14" s="6"/>
      <c r="N14" s="6"/>
      <c r="O14" s="6"/>
      <c r="P14" s="6"/>
      <c r="Q14" s="6"/>
      <c r="R14" s="6"/>
      <c r="S14" s="6"/>
      <c r="T14" s="6"/>
      <c r="U14" s="6"/>
      <c r="V14" s="6"/>
      <c r="W14" s="6"/>
      <c r="X14" s="6"/>
      <c r="Y14" s="6"/>
    </row>
    <row r="15" spans="1:25" ht="14.4">
      <c r="A15" s="7">
        <v>3014</v>
      </c>
      <c r="B15" s="7" t="s">
        <v>122</v>
      </c>
      <c r="C15" s="7" t="s">
        <v>109</v>
      </c>
      <c r="D15" s="7">
        <v>55378</v>
      </c>
      <c r="E15" s="17">
        <v>45255</v>
      </c>
      <c r="F15" s="15">
        <f t="shared" ca="1" si="0"/>
        <v>2</v>
      </c>
      <c r="G15" s="6"/>
      <c r="H15" s="6"/>
      <c r="I15" s="6"/>
      <c r="J15" s="6"/>
      <c r="K15" s="6"/>
      <c r="L15" s="6"/>
      <c r="M15" s="6"/>
      <c r="N15" s="6"/>
      <c r="O15" s="6"/>
      <c r="P15" s="6"/>
      <c r="Q15" s="6"/>
      <c r="R15" s="6"/>
      <c r="S15" s="6"/>
      <c r="T15" s="6"/>
      <c r="U15" s="6"/>
      <c r="V15" s="6"/>
      <c r="W15" s="6"/>
      <c r="X15" s="6"/>
      <c r="Y15" s="6"/>
    </row>
    <row r="16" spans="1:25" ht="14.4">
      <c r="A16" s="7">
        <v>3015</v>
      </c>
      <c r="B16" s="7" t="s">
        <v>123</v>
      </c>
      <c r="C16" s="7" t="s">
        <v>109</v>
      </c>
      <c r="D16" s="7">
        <v>63297</v>
      </c>
      <c r="E16" s="17">
        <v>45505</v>
      </c>
      <c r="F16" s="15">
        <f t="shared" ca="1" si="0"/>
        <v>1</v>
      </c>
      <c r="G16" s="6"/>
      <c r="H16" s="6"/>
      <c r="I16" s="6"/>
      <c r="J16" s="6"/>
      <c r="K16" s="6"/>
      <c r="L16" s="6"/>
      <c r="M16" s="6"/>
      <c r="N16" s="6"/>
      <c r="O16" s="6"/>
      <c r="P16" s="6"/>
      <c r="Q16" s="6"/>
      <c r="R16" s="6"/>
      <c r="S16" s="6"/>
      <c r="T16" s="6"/>
      <c r="U16" s="6"/>
      <c r="V16" s="6"/>
      <c r="W16" s="6"/>
      <c r="X16" s="6"/>
      <c r="Y16" s="6"/>
    </row>
    <row r="17" spans="1:25" ht="14.4">
      <c r="A17" s="7">
        <v>3016</v>
      </c>
      <c r="B17" s="7" t="s">
        <v>124</v>
      </c>
      <c r="C17" s="7" t="s">
        <v>106</v>
      </c>
      <c r="D17" s="7">
        <v>114173</v>
      </c>
      <c r="E17" s="17">
        <v>45755</v>
      </c>
      <c r="F17" s="15">
        <f t="shared" ca="1" si="0"/>
        <v>0</v>
      </c>
      <c r="G17" s="6"/>
      <c r="H17" s="6"/>
      <c r="I17" s="6"/>
      <c r="J17" s="6"/>
      <c r="K17" s="6"/>
      <c r="L17" s="6"/>
      <c r="M17" s="6"/>
      <c r="N17" s="6"/>
      <c r="O17" s="6"/>
      <c r="P17" s="6"/>
      <c r="Q17" s="6"/>
      <c r="R17" s="6"/>
      <c r="S17" s="6"/>
      <c r="T17" s="6"/>
      <c r="U17" s="6"/>
      <c r="V17" s="6"/>
      <c r="W17" s="6"/>
      <c r="X17" s="6"/>
      <c r="Y17" s="6"/>
    </row>
    <row r="18" spans="1:25" ht="14.4">
      <c r="A18" s="7">
        <v>3017</v>
      </c>
      <c r="B18" s="7" t="s">
        <v>125</v>
      </c>
      <c r="C18" s="7" t="s">
        <v>109</v>
      </c>
      <c r="D18" s="7">
        <v>86915</v>
      </c>
      <c r="E18" s="17">
        <v>46005</v>
      </c>
      <c r="F18" s="15">
        <f t="shared" ca="1" si="0"/>
        <v>0</v>
      </c>
      <c r="G18" s="6"/>
      <c r="H18" s="6"/>
      <c r="I18" s="6"/>
      <c r="J18" s="6"/>
      <c r="K18" s="6"/>
      <c r="L18" s="6"/>
      <c r="M18" s="6"/>
      <c r="N18" s="6"/>
      <c r="O18" s="6"/>
      <c r="P18" s="6"/>
      <c r="Q18" s="6"/>
      <c r="R18" s="6"/>
      <c r="S18" s="6"/>
      <c r="T18" s="6"/>
      <c r="U18" s="6"/>
      <c r="V18" s="6"/>
      <c r="W18" s="6"/>
      <c r="X18" s="6"/>
      <c r="Y18" s="6"/>
    </row>
    <row r="19" spans="1:25" ht="14.4">
      <c r="A19" s="7">
        <v>3018</v>
      </c>
      <c r="B19" s="7" t="s">
        <v>126</v>
      </c>
      <c r="C19" s="7" t="s">
        <v>112</v>
      </c>
      <c r="D19" s="7">
        <v>116284</v>
      </c>
      <c r="E19" s="17">
        <v>46255</v>
      </c>
      <c r="F19" s="15" t="e">
        <f t="shared" ca="1" si="0"/>
        <v>#NUM!</v>
      </c>
      <c r="G19" s="6"/>
      <c r="H19" s="6"/>
      <c r="I19" s="6"/>
      <c r="J19" s="6"/>
      <c r="K19" s="6"/>
      <c r="L19" s="6"/>
      <c r="M19" s="6"/>
      <c r="N19" s="6"/>
      <c r="O19" s="6"/>
      <c r="P19" s="6"/>
      <c r="Q19" s="6"/>
      <c r="R19" s="6"/>
      <c r="S19" s="6"/>
      <c r="T19" s="6"/>
      <c r="U19" s="6"/>
      <c r="V19" s="6"/>
      <c r="W19" s="6"/>
      <c r="X19" s="6"/>
      <c r="Y19" s="6"/>
    </row>
    <row r="20" spans="1:25" ht="14.4">
      <c r="A20" s="7">
        <v>3019</v>
      </c>
      <c r="B20" s="7" t="s">
        <v>127</v>
      </c>
      <c r="C20" s="7" t="s">
        <v>115</v>
      </c>
      <c r="D20" s="7">
        <v>116283</v>
      </c>
      <c r="E20" s="17">
        <v>46505</v>
      </c>
      <c r="F20" s="15" t="e">
        <f t="shared" ca="1" si="0"/>
        <v>#NUM!</v>
      </c>
      <c r="G20" s="6"/>
      <c r="H20" s="6"/>
      <c r="I20" s="6"/>
      <c r="J20" s="6"/>
      <c r="K20" s="6"/>
      <c r="L20" s="6"/>
      <c r="M20" s="6"/>
      <c r="N20" s="6"/>
      <c r="O20" s="6"/>
      <c r="P20" s="6"/>
      <c r="Q20" s="6"/>
      <c r="R20" s="6"/>
      <c r="S20" s="6"/>
      <c r="T20" s="6"/>
      <c r="U20" s="6"/>
      <c r="V20" s="6"/>
      <c r="W20" s="6"/>
      <c r="X20" s="6"/>
      <c r="Y20" s="6"/>
    </row>
    <row r="21" spans="1:25" ht="15.75" customHeight="1">
      <c r="A21" s="7">
        <v>3020</v>
      </c>
      <c r="B21" s="7" t="s">
        <v>128</v>
      </c>
      <c r="C21" s="7" t="s">
        <v>115</v>
      </c>
      <c r="D21" s="7">
        <v>99924</v>
      </c>
      <c r="E21" s="17">
        <v>46755</v>
      </c>
      <c r="F21" s="15" t="e">
        <f t="shared" ca="1" si="0"/>
        <v>#NUM!</v>
      </c>
      <c r="G21" s="6"/>
      <c r="H21" s="6"/>
      <c r="I21" s="6"/>
      <c r="J21" s="6"/>
      <c r="K21" s="6"/>
      <c r="L21" s="6"/>
      <c r="M21" s="6"/>
      <c r="N21" s="6"/>
      <c r="O21" s="6"/>
      <c r="P21" s="6"/>
      <c r="Q21" s="6"/>
      <c r="R21" s="6"/>
      <c r="S21" s="6"/>
      <c r="T21" s="6"/>
      <c r="U21" s="6"/>
      <c r="V21" s="6"/>
      <c r="W21" s="6"/>
      <c r="X21" s="6"/>
      <c r="Y21" s="6"/>
    </row>
    <row r="22" spans="1:25" ht="15.75" customHeight="1">
      <c r="A22" s="6"/>
      <c r="B22" s="6"/>
      <c r="C22" s="6"/>
      <c r="D22" s="6"/>
      <c r="E22" s="6"/>
      <c r="F22" s="6"/>
      <c r="G22" s="6"/>
      <c r="H22" s="6"/>
      <c r="I22" s="6"/>
      <c r="J22" s="6"/>
      <c r="K22" s="6"/>
      <c r="L22" s="6"/>
      <c r="M22" s="6"/>
      <c r="N22" s="6"/>
      <c r="O22" s="6"/>
      <c r="P22" s="6"/>
      <c r="Q22" s="6"/>
      <c r="R22" s="6"/>
      <c r="S22" s="6"/>
      <c r="T22" s="6"/>
      <c r="U22" s="6"/>
      <c r="V22" s="6"/>
      <c r="W22" s="6"/>
      <c r="X22" s="6"/>
      <c r="Y22" s="6"/>
    </row>
    <row r="23" spans="1:25" ht="15.75" customHeight="1">
      <c r="A23" s="6"/>
      <c r="B23" s="6"/>
      <c r="C23" s="6"/>
      <c r="D23" s="6"/>
      <c r="E23" s="6"/>
      <c r="F23" s="6"/>
      <c r="G23" s="6"/>
      <c r="H23" s="6"/>
      <c r="I23" s="6"/>
      <c r="J23" s="6"/>
      <c r="K23" s="6"/>
      <c r="L23" s="6"/>
      <c r="M23" s="6"/>
      <c r="N23" s="6"/>
      <c r="O23" s="6"/>
      <c r="P23" s="6"/>
      <c r="Q23" s="6"/>
      <c r="R23" s="6"/>
      <c r="S23" s="6"/>
      <c r="T23" s="6"/>
      <c r="U23" s="6"/>
      <c r="V23" s="6"/>
      <c r="W23" s="6"/>
      <c r="X23" s="6"/>
      <c r="Y23" s="6"/>
    </row>
    <row r="24" spans="1:25" ht="15.75" customHeight="1">
      <c r="A24" s="18" t="s">
        <v>144</v>
      </c>
      <c r="B24" s="18"/>
      <c r="C24" s="6"/>
      <c r="D24" s="18" t="s">
        <v>152</v>
      </c>
      <c r="E24" s="18"/>
      <c r="F24" s="6"/>
      <c r="G24" s="6"/>
      <c r="H24" s="6"/>
      <c r="I24" s="6"/>
      <c r="J24" s="6"/>
      <c r="K24" s="6"/>
      <c r="L24" s="6"/>
      <c r="M24" s="6"/>
      <c r="N24" s="6"/>
      <c r="O24" s="6"/>
      <c r="P24" s="6"/>
      <c r="Q24" s="6"/>
      <c r="R24" s="6"/>
      <c r="S24" s="6"/>
      <c r="T24" s="6"/>
      <c r="U24" s="6"/>
      <c r="V24" s="6"/>
      <c r="W24" s="6"/>
      <c r="X24" s="6"/>
      <c r="Y24" s="6"/>
    </row>
    <row r="25" spans="1:25" ht="15.75" customHeight="1">
      <c r="A25" s="27" t="s">
        <v>145</v>
      </c>
      <c r="B25" s="15" t="str">
        <f>INDEX(B2:B21,MATCH(A8,A2:A21,0))</f>
        <v>Employee 7</v>
      </c>
      <c r="C25" s="6"/>
      <c r="D25" s="22">
        <f>_xlfn.XLOOKUP(B8,B2:B21,D2:D21,"Not Found")</f>
        <v>35960</v>
      </c>
      <c r="E25" s="22"/>
      <c r="F25" s="6"/>
      <c r="G25" s="6"/>
      <c r="H25" s="6"/>
      <c r="I25" s="6"/>
      <c r="J25" s="6"/>
      <c r="K25" s="6"/>
      <c r="L25" s="6"/>
      <c r="M25" s="6"/>
      <c r="N25" s="6"/>
      <c r="O25" s="6"/>
      <c r="P25" s="6"/>
      <c r="Q25" s="6"/>
      <c r="R25" s="6"/>
      <c r="S25" s="6"/>
      <c r="T25" s="6"/>
      <c r="U25" s="6"/>
      <c r="V25" s="6"/>
      <c r="W25" s="6"/>
      <c r="X25" s="6"/>
      <c r="Y25" s="6"/>
    </row>
    <row r="26" spans="1:25" ht="15.75" customHeight="1">
      <c r="A26" s="27" t="s">
        <v>146</v>
      </c>
      <c r="B26" s="15" t="str">
        <f>INDEX(C2:C21,MATCH(A8,A2:A21,0))</f>
        <v>Marketing</v>
      </c>
      <c r="C26" s="6"/>
      <c r="D26" s="6"/>
      <c r="E26" s="6"/>
      <c r="F26" s="6"/>
      <c r="G26" s="6"/>
      <c r="H26" s="6"/>
      <c r="I26" s="6"/>
      <c r="J26" s="6"/>
      <c r="K26" s="6"/>
      <c r="L26" s="6"/>
      <c r="M26" s="6"/>
      <c r="N26" s="6"/>
      <c r="O26" s="6"/>
      <c r="P26" s="6"/>
      <c r="Q26" s="6"/>
      <c r="R26" s="6"/>
      <c r="S26" s="6"/>
      <c r="T26" s="6"/>
      <c r="U26" s="6"/>
      <c r="V26" s="6"/>
      <c r="W26" s="6"/>
      <c r="X26" s="6"/>
      <c r="Y26" s="6"/>
    </row>
    <row r="27" spans="1:25" ht="15.75" customHeight="1">
      <c r="A27" s="27" t="s">
        <v>147</v>
      </c>
      <c r="B27" s="15">
        <f>INDEX(D2:D21,MATCH(A8,A2:A21,0))</f>
        <v>35960</v>
      </c>
      <c r="C27" s="6"/>
      <c r="D27" s="6"/>
      <c r="E27" s="6"/>
      <c r="F27" s="6"/>
      <c r="G27" s="6"/>
      <c r="H27" s="6"/>
      <c r="I27" s="6"/>
      <c r="J27" s="6"/>
      <c r="K27" s="6"/>
      <c r="L27" s="6"/>
      <c r="M27" s="6"/>
      <c r="N27" s="6"/>
      <c r="O27" s="6"/>
      <c r="P27" s="6"/>
      <c r="Q27" s="6"/>
      <c r="R27" s="6"/>
      <c r="S27" s="6"/>
      <c r="T27" s="6"/>
      <c r="U27" s="6"/>
      <c r="V27" s="6"/>
      <c r="W27" s="6"/>
      <c r="X27" s="6"/>
      <c r="Y27" s="6"/>
    </row>
    <row r="28" spans="1:25" ht="15.75" customHeight="1">
      <c r="A28" s="6"/>
      <c r="B28" s="6"/>
      <c r="C28" s="6"/>
      <c r="D28" s="6"/>
      <c r="E28" s="6"/>
      <c r="F28" s="6"/>
      <c r="G28" s="6"/>
      <c r="H28" s="6"/>
      <c r="I28" s="6"/>
      <c r="J28" s="6"/>
      <c r="K28" s="6"/>
      <c r="L28" s="6"/>
      <c r="M28" s="6"/>
      <c r="N28" s="6"/>
      <c r="O28" s="6"/>
      <c r="P28" s="6"/>
      <c r="Q28" s="6"/>
      <c r="R28" s="6"/>
      <c r="S28" s="6"/>
      <c r="T28" s="6"/>
      <c r="U28" s="6"/>
      <c r="V28" s="6"/>
      <c r="W28" s="6"/>
      <c r="X28" s="6"/>
      <c r="Y28" s="6"/>
    </row>
    <row r="29" spans="1:25" ht="15.75" customHeight="1">
      <c r="A29" s="6"/>
      <c r="B29" s="6"/>
      <c r="C29" s="6"/>
      <c r="D29" s="6"/>
      <c r="E29" s="6"/>
      <c r="F29" s="6"/>
      <c r="G29" s="6"/>
      <c r="H29" s="6"/>
      <c r="I29" s="6"/>
      <c r="J29" s="6"/>
      <c r="K29" s="6"/>
      <c r="L29" s="6"/>
      <c r="M29" s="6"/>
      <c r="N29" s="6"/>
      <c r="O29" s="6"/>
      <c r="P29" s="6"/>
      <c r="Q29" s="6"/>
      <c r="R29" s="6"/>
      <c r="S29" s="6"/>
      <c r="T29" s="6"/>
      <c r="U29" s="6"/>
      <c r="V29" s="6"/>
      <c r="W29" s="6"/>
      <c r="X29" s="6"/>
      <c r="Y29" s="6"/>
    </row>
    <row r="30" spans="1:25" ht="15.75" customHeight="1">
      <c r="A30" s="6"/>
      <c r="B30" s="6"/>
      <c r="C30" s="6"/>
      <c r="D30" s="6"/>
      <c r="E30" s="6"/>
      <c r="F30" s="6"/>
      <c r="G30" s="6"/>
      <c r="H30" s="6"/>
      <c r="I30" s="6"/>
      <c r="J30" s="6"/>
      <c r="K30" s="6"/>
      <c r="L30" s="6"/>
      <c r="M30" s="6"/>
      <c r="N30" s="6"/>
      <c r="O30" s="6"/>
      <c r="P30" s="6"/>
      <c r="Q30" s="6"/>
      <c r="R30" s="6"/>
      <c r="S30" s="6"/>
      <c r="T30" s="6"/>
      <c r="U30" s="6"/>
      <c r="V30" s="6"/>
      <c r="W30" s="6"/>
      <c r="X30" s="6"/>
      <c r="Y30" s="6"/>
    </row>
    <row r="31" spans="1:25" ht="15.75" customHeight="1">
      <c r="A31" s="6"/>
      <c r="B31" s="6"/>
      <c r="C31" s="6"/>
      <c r="D31" s="6"/>
      <c r="E31" s="6"/>
      <c r="F31" s="6"/>
      <c r="G31" s="6"/>
      <c r="H31" s="6"/>
      <c r="I31" s="6"/>
      <c r="J31" s="6"/>
      <c r="K31" s="6"/>
      <c r="L31" s="6"/>
      <c r="M31" s="6"/>
      <c r="N31" s="6"/>
      <c r="O31" s="6"/>
      <c r="P31" s="6"/>
      <c r="Q31" s="6"/>
      <c r="R31" s="6"/>
      <c r="S31" s="6"/>
      <c r="T31" s="6"/>
      <c r="U31" s="6"/>
      <c r="V31" s="6"/>
      <c r="W31" s="6"/>
      <c r="X31" s="6"/>
      <c r="Y31" s="6"/>
    </row>
    <row r="32" spans="1:25" ht="15.75" customHeight="1">
      <c r="A32" s="6"/>
      <c r="B32" s="6"/>
      <c r="C32" s="6"/>
      <c r="D32" s="6"/>
      <c r="E32" s="6"/>
      <c r="F32" s="6"/>
      <c r="G32" s="6"/>
      <c r="H32" s="6"/>
      <c r="I32" s="6"/>
      <c r="J32" s="6"/>
      <c r="K32" s="6"/>
      <c r="L32" s="6"/>
      <c r="M32" s="6"/>
      <c r="N32" s="6"/>
      <c r="O32" s="6"/>
      <c r="P32" s="6"/>
      <c r="Q32" s="6"/>
      <c r="R32" s="6"/>
      <c r="S32" s="6"/>
      <c r="T32" s="6"/>
      <c r="U32" s="6"/>
      <c r="V32" s="6"/>
      <c r="W32" s="6"/>
      <c r="X32" s="6"/>
      <c r="Y32" s="6"/>
    </row>
    <row r="33" spans="1:25" ht="15.75" customHeight="1">
      <c r="A33" s="6"/>
      <c r="B33" s="6"/>
      <c r="C33" s="6"/>
      <c r="D33" s="6"/>
      <c r="E33" s="6"/>
      <c r="F33" s="6"/>
      <c r="G33" s="6"/>
      <c r="H33" s="6"/>
      <c r="I33" s="6"/>
      <c r="J33" s="6"/>
      <c r="K33" s="6"/>
      <c r="L33" s="6"/>
      <c r="M33" s="6"/>
      <c r="N33" s="6"/>
      <c r="O33" s="6"/>
      <c r="P33" s="6"/>
      <c r="Q33" s="6"/>
      <c r="R33" s="6"/>
      <c r="S33" s="6"/>
      <c r="T33" s="6"/>
      <c r="U33" s="6"/>
      <c r="V33" s="6"/>
      <c r="W33" s="6"/>
      <c r="X33" s="6"/>
      <c r="Y33" s="6"/>
    </row>
    <row r="34" spans="1:25" ht="15.75" customHeight="1">
      <c r="A34" s="6"/>
      <c r="B34" s="6"/>
      <c r="C34" s="6"/>
      <c r="D34" s="6"/>
      <c r="E34" s="6"/>
      <c r="F34" s="6"/>
      <c r="G34" s="6"/>
      <c r="H34" s="6"/>
      <c r="I34" s="6"/>
      <c r="J34" s="6"/>
      <c r="K34" s="6"/>
      <c r="L34" s="6"/>
      <c r="M34" s="6"/>
      <c r="N34" s="6"/>
      <c r="O34" s="6"/>
      <c r="P34" s="6"/>
      <c r="Q34" s="6"/>
      <c r="R34" s="6"/>
      <c r="S34" s="6"/>
      <c r="T34" s="6"/>
      <c r="U34" s="6"/>
      <c r="V34" s="6"/>
      <c r="W34" s="6"/>
      <c r="X34" s="6"/>
      <c r="Y34" s="6"/>
    </row>
    <row r="35" spans="1:25" ht="15.75" customHeight="1">
      <c r="A35" s="6"/>
      <c r="B35" s="6"/>
      <c r="C35" s="6"/>
      <c r="D35" s="6"/>
      <c r="E35" s="6"/>
      <c r="F35" s="6"/>
      <c r="G35" s="6"/>
      <c r="H35" s="6"/>
      <c r="I35" s="6"/>
      <c r="J35" s="6"/>
      <c r="K35" s="6"/>
      <c r="L35" s="6"/>
      <c r="M35" s="6"/>
      <c r="N35" s="6"/>
      <c r="O35" s="6"/>
      <c r="P35" s="6"/>
      <c r="Q35" s="6"/>
      <c r="R35" s="6"/>
      <c r="S35" s="6"/>
      <c r="T35" s="6"/>
      <c r="U35" s="6"/>
      <c r="V35" s="6"/>
      <c r="W35" s="6"/>
      <c r="X35" s="6"/>
      <c r="Y35" s="6"/>
    </row>
    <row r="36" spans="1:25" ht="15.75" customHeight="1">
      <c r="A36" s="6"/>
      <c r="B36" s="6"/>
      <c r="C36" s="6"/>
      <c r="D36" s="6"/>
      <c r="E36" s="6"/>
      <c r="F36" s="6"/>
      <c r="G36" s="6"/>
      <c r="H36" s="6"/>
      <c r="I36" s="6"/>
      <c r="J36" s="6"/>
      <c r="K36" s="6"/>
      <c r="L36" s="6"/>
      <c r="M36" s="6"/>
      <c r="N36" s="6"/>
      <c r="O36" s="6"/>
      <c r="P36" s="6"/>
      <c r="Q36" s="6"/>
      <c r="R36" s="6"/>
      <c r="S36" s="6"/>
      <c r="T36" s="6"/>
      <c r="U36" s="6"/>
      <c r="V36" s="6"/>
      <c r="W36" s="6"/>
      <c r="X36" s="6"/>
      <c r="Y36" s="6"/>
    </row>
    <row r="37" spans="1:25" ht="15.75" customHeight="1">
      <c r="A37" s="6"/>
      <c r="B37" s="6"/>
      <c r="C37" s="6"/>
      <c r="D37" s="6"/>
      <c r="E37" s="6"/>
      <c r="F37" s="6"/>
      <c r="G37" s="6"/>
      <c r="H37" s="6"/>
      <c r="I37" s="6"/>
      <c r="J37" s="6"/>
      <c r="K37" s="6"/>
      <c r="L37" s="6"/>
      <c r="M37" s="6"/>
      <c r="N37" s="6"/>
      <c r="O37" s="6"/>
      <c r="P37" s="6"/>
      <c r="Q37" s="6"/>
      <c r="R37" s="6"/>
      <c r="S37" s="6"/>
      <c r="T37" s="6"/>
      <c r="U37" s="6"/>
      <c r="V37" s="6"/>
      <c r="W37" s="6"/>
      <c r="X37" s="6"/>
      <c r="Y37" s="6"/>
    </row>
    <row r="38" spans="1:25" ht="15.75" customHeight="1">
      <c r="A38" s="6"/>
      <c r="B38" s="6"/>
      <c r="C38" s="6"/>
      <c r="D38" s="6"/>
      <c r="E38" s="6"/>
      <c r="F38" s="6"/>
      <c r="G38" s="6"/>
      <c r="H38" s="6"/>
      <c r="I38" s="6"/>
      <c r="J38" s="6"/>
      <c r="K38" s="6"/>
      <c r="L38" s="6"/>
      <c r="M38" s="6"/>
      <c r="N38" s="6"/>
      <c r="O38" s="6"/>
      <c r="P38" s="6"/>
      <c r="Q38" s="6"/>
      <c r="R38" s="6"/>
      <c r="S38" s="6"/>
      <c r="T38" s="6"/>
      <c r="U38" s="6"/>
      <c r="V38" s="6"/>
      <c r="W38" s="6"/>
      <c r="X38" s="6"/>
      <c r="Y38" s="6"/>
    </row>
    <row r="39" spans="1:25" ht="15.75" customHeight="1">
      <c r="A39" s="6"/>
      <c r="B39" s="6"/>
      <c r="C39" s="6"/>
      <c r="D39" s="6"/>
      <c r="E39" s="6"/>
      <c r="F39" s="6"/>
      <c r="G39" s="6"/>
      <c r="H39" s="6"/>
      <c r="I39" s="6"/>
      <c r="J39" s="6"/>
      <c r="K39" s="6"/>
      <c r="L39" s="6"/>
      <c r="M39" s="6"/>
      <c r="N39" s="6"/>
      <c r="O39" s="6"/>
      <c r="P39" s="6"/>
      <c r="Q39" s="6"/>
      <c r="R39" s="6"/>
      <c r="S39" s="6"/>
      <c r="T39" s="6"/>
      <c r="U39" s="6"/>
      <c r="V39" s="6"/>
      <c r="W39" s="6"/>
      <c r="X39" s="6"/>
      <c r="Y39" s="6"/>
    </row>
    <row r="40" spans="1:25"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spans="1:25"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spans="1:25"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spans="1:25"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spans="1:25"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spans="1:2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spans="1:25"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spans="1:25"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spans="1:25"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spans="1:25"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spans="1:25"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spans="1:25"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spans="1:25"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spans="1:25"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spans="1:25"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spans="1:2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spans="1:25"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spans="1:25"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spans="1:25"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spans="1:25"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spans="1:25"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spans="1:25"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spans="1:25"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spans="1:25"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spans="1:25"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spans="1:2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spans="1:25"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spans="1:25"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spans="1:25"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spans="1:25"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spans="1:25"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spans="1:25"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spans="1:25"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spans="1:25"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spans="1:25"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spans="1:2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spans="1:25"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spans="1:25"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spans="1:25"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spans="1:25"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spans="1:25"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spans="1:25"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spans="1:25"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spans="1:25"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spans="1:25"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spans="1:2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spans="1:25"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spans="1:25"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spans="1:25"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spans="1:25"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spans="1:25"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spans="1:25"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spans="1:25"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spans="1:25"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spans="1:25"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spans="1:2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spans="1:25"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spans="1:25"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spans="1:25"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spans="1:25"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spans="1:25"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1:25"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1:2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1:25"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1:25"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1:25"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1:25"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1:25"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1:25"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1:25"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1:25"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1:25"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mergeCells count="3">
    <mergeCell ref="A24:B24"/>
    <mergeCell ref="D24:E24"/>
    <mergeCell ref="D25:E25"/>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devanshikanthariya1277@gmail.com</cp:lastModifiedBy>
  <dcterms:modified xsi:type="dcterms:W3CDTF">2026-03-27T19:30:15Z</dcterms:modified>
</cp:coreProperties>
</file>